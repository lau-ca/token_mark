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9c0e41c70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3f9afe4595494016"/>
    <x:sheet xmlns:r="http://schemas.openxmlformats.org/officeDocument/2006/relationships" name="价格明细" sheetId="2" r:id="Rd0d0009d99ad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&quot;x&quot;"/>
    <x:numFmt numFmtId="201" formatCode="$0.00####"/>
    <x:numFmt numFmtId="202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1E3A8A"/>
      <x:name val="Carlito"/>
    </x:font>
    <x:font>
      <x:b/>
      <x:sz val="14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right" vertical="top" wrapText="1"/>
    </x:xf>
    <x:xf numFmtId="202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1660222ee4d63" /><Relationship Type="http://schemas.openxmlformats.org/officeDocument/2006/relationships/theme" Target="/xl/theme/theme1.xml" Id="R245da7ee90a14cb1" /><Relationship Type="http://schemas.openxmlformats.org/officeDocument/2006/relationships/sharedStrings" Target="/xl/sharedStrings.xml" Id="Rbb0a1d5984924d2c" /><Relationship Type="http://schemas.openxmlformats.org/officeDocument/2006/relationships/worksheet" Target="/xl/worksheets/sheet1.xml" Id="R3f9afe4595494016" /><Relationship Type="http://schemas.openxmlformats.org/officeDocument/2006/relationships/worksheet" Target="/xl/worksheets/sheet2.xml" Id="Rd0d0009d99ad40ca" /></Relationships>
</file>

<file path=xl/tables/table1.xml><?xml version="1.0" encoding="utf-8"?>
<x:table xmlns:x="http://schemas.openxmlformats.org/spreadsheetml/2006/main" id="1" name="ModelOverviewTable" displayName="ModelOverviewTable" ref="A6:M45" headerRowCount="1" totalsRowCount="0" totalsRowShown="0">
  <x:autoFilter ref="A6:M45"/>
  <x:tableColumns count="13">
    <x:tableColumn id="1" name="序号"/>
    <x:tableColumn id="2" name="模型"/>
    <x:tableColumn id="3" name="提供商"/>
    <x:tableColumn id="4" name="计费类型"/>
    <x:tableColumn id="5" name="分组"/>
    <x:tableColumn id="6" name="倍率"/>
    <x:tableColumn id="7" name="基础价格"/>
    <x:tableColumn id="8" name="详情价格摘要"/>
    <x:tableColumn id="9" name="明细行数"/>
    <x:tableColumn id="10" name="端点"/>
    <x:tableColumn id="11" name="备注"/>
    <x:tableColumn id="12" name="来源"/>
    <x:tableColumn id="13" name="采集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ingDetailTable" displayName="PricingDetailTable" ref="A5:S79" headerRowCount="1" totalsRowCount="0" totalsRowShown="0">
  <x:autoFilter ref="A5:S79"/>
  <x:tableColumns count="19">
    <x:tableColumn id="1" name="序号"/>
    <x:tableColumn id="2" name="模型"/>
    <x:tableColumn id="3" name="提供商"/>
    <x:tableColumn id="4" name="计费类型"/>
    <x:tableColumn id="5" name="分组"/>
    <x:tableColumn id="6" name="倍率"/>
    <x:tableColumn id="7" name="档位"/>
    <x:tableColumn id="8" name="条件"/>
    <x:tableColumn id="9" name="计价单位"/>
    <x:tableColumn id="10" name="输入价"/>
    <x:tableColumn id="11" name="输出价"/>
    <x:tableColumn id="12" name="缓存读取/输入价"/>
    <x:tableColumn id="13" name="缓存写入价"/>
    <x:tableColumn id="14" name="单次请求价"/>
    <x:tableColumn id="15" name="每秒价"/>
    <x:tableColumn id="16" name="端点"/>
    <x:tableColumn id="17" name="备注"/>
    <x:tableColumn id="18" name="来源"/>
    <x:tableColumn id="19" name="采集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da62afe774d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27506a4c3647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9" hidden="0" customWidth="1"/>
    <x:col min="3" max="3" width="14" hidden="0" customWidth="1"/>
    <x:col min="4" max="4" width="14" hidden="0" customWidth="1"/>
    <x:col min="5" max="5" width="25" hidden="0" customWidth="1"/>
    <x:col min="6" max="6" width="30" hidden="0" customWidth="1"/>
    <x:col min="7" max="7" width="45" hidden="0" customWidth="1"/>
    <x:col min="8" max="8" width="72" hidden="0" customWidth="1"/>
    <x:col min="9" max="9" width="11" hidden="0" customWidth="1"/>
    <x:col min="10" max="10" width="50" hidden="0" customWidth="1"/>
    <x:col min="11" max="11" width="45" hidden="0" customWidth="1"/>
    <x:col min="12" max="12" width="39" hidden="0" customWidth="1"/>
    <x:col min="13" max="13" width="13" hidden="0" customWidth="1"/>
  </x:cols>
  <x:sheetData>
    <x:row r="1" ht="34" customHeight="1">
      <x:c r="A1" s="3" t="str">
        <x:v>FriModel 模型完整定价表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已逐个打开模型详情页；包含基础价、全部分组倍率、动态分档和详情页异常原文。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0" t="str">
        <x:v>模型数</x:v>
      </x:c>
      <x:c r="B3" s="10" t="str">
        <x:v>明细价格行数</x:v>
      </x:c>
      <x:c r="D3" s="10" t="str">
        <x:v>动态计费模型</x:v>
      </x:c>
      <x:c r="E3" s="10" t="str">
        <x:v>采集日期</x:v>
      </x:c>
    </x:row>
    <x:row r="4">
      <x:c r="A4" s="13" t="n">
        <x:f>COUNTA(B7:B100)</x:f>
        <x:v>39</x:v>
      </x:c>
      <x:c r="B4" s="13" t="n">
        <x:f>COUNTA('价格明细'!A6:A200)</x:f>
        <x:v>74</x:v>
      </x:c>
      <x:c r="D4" s="13" t="n">
        <x:f>COUNTIF(D7:D100,"动态计费")</x:f>
        <x:v>17</x:v>
      </x:c>
      <x:c r="E4" s="13" t="str">
        <x:v>2026-08-10</x:v>
      </x:c>
    </x:row>
    <x:row r="6">
      <x:c r="A6" s="15" t="str">
        <x:v>序号</x:v>
      </x:c>
      <x:c r="B6" s="15" t="str">
        <x:v>模型</x:v>
      </x:c>
      <x:c r="C6" s="15" t="str">
        <x:v>提供商</x:v>
      </x:c>
      <x:c r="D6" s="15" t="str">
        <x:v>计费类型</x:v>
      </x:c>
      <x:c r="E6" s="15" t="str">
        <x:v>分组</x:v>
      </x:c>
      <x:c r="F6" s="15" t="str">
        <x:v>倍率</x:v>
      </x:c>
      <x:c r="G6" s="15" t="str">
        <x:v>基础价格</x:v>
      </x:c>
      <x:c r="H6" s="15" t="str">
        <x:v>详情价格摘要</x:v>
      </x:c>
      <x:c r="I6" s="15" t="str">
        <x:v>明细行数</x:v>
      </x:c>
      <x:c r="J6" s="15" t="str">
        <x:v>端点</x:v>
      </x:c>
      <x:c r="K6" s="15" t="str">
        <x:v>备注</x:v>
      </x:c>
      <x:c r="L6" s="15" t="str">
        <x:v>来源</x:v>
      </x:c>
      <x:c r="M6" s="15" t="str">
        <x:v>采集日期</x:v>
      </x:c>
    </x:row>
    <x:row r="7" ht="42" customHeight="1">
      <x:c r="A7" s="23" t="n">
        <x:v>1</x:v>
      </x:c>
      <x:c r="B7" s="15" t="str">
        <x:v>claude-fable-5</x:v>
      </x:c>
      <x:c r="C7" s="15" t="str">
        <x:v>Anthropic</x:v>
      </x:c>
      <x:c r="D7" s="15" t="str">
        <x:v>按量计费</x:v>
      </x:c>
      <x:c r="E7" s="15" t="str">
        <x:v>claude_max、claude_max_外接</x:v>
      </x:c>
      <x:c r="F7" s="15" t="str">
        <x:v>claude_max 1.4x；claude_max_外接 1.4x</x:v>
      </x:c>
      <x:c r="G7" s="16" t="str">
        <x:v>输入 $10；输出 $50；缓存输入 $1；缓存写入 $12.5（每 1M tokens）</x:v>
      </x:c>
      <x:c r="H7" s="16" t="str">
        <x:v>claude_max: 标准: 输入 $14；输出 $70；缓存读取/输入 $1.4；缓存写入 $17.5
claude_max_外接: 标准: 输入 $14；输出 $70；缓存读取/输入 $1.4；缓存写入 $17.5</x:v>
      </x:c>
      <x:c r="I7" s="24" t="n">
        <x:f>COUNTIF('价格明细'!$B$6:$B$200,B7)</x:f>
        <x:v>2</x:v>
      </x:c>
      <x:c r="J7" s="16" t="str">
        <x:v>anthropic, openai</x:v>
      </x:c>
      <x:c r="K7" s="16" t="str"/>
      <x:c r="L7" s="16" t="str">
        <x:v>https://platform.frimodel.com/pricing</x:v>
      </x:c>
      <x:c r="M7" s="16" t="str">
        <x:v>2026-08-10</x:v>
      </x:c>
    </x:row>
    <x:row r="8" ht="42" customHeight="1">
      <x:c r="A8" s="23" t="n">
        <x:v>2</x:v>
      </x:c>
      <x:c r="B8" s="15" t="str">
        <x:v>claude-opus-4-6</x:v>
      </x:c>
      <x:c r="C8" s="15" t="str">
        <x:v>Anthropic</x:v>
      </x:c>
      <x:c r="D8" s="15" t="str">
        <x:v>按量计费</x:v>
      </x:c>
      <x:c r="E8" s="15" t="str">
        <x:v>claude_max、claude_max_外接</x:v>
      </x:c>
      <x:c r="F8" s="15" t="str">
        <x:v>claude_max 1.4x；claude_max_外接 1.4x</x:v>
      </x:c>
      <x:c r="G8" s="16" t="str">
        <x:v>输入 $5；输出 $25；缓存输入 $0.5；缓存写入 $6.25（每 1M tokens）</x:v>
      </x:c>
      <x:c r="H8" s="16" t="str">
        <x:v>claude_max: 标准: 输入 $7；输出 $35；缓存读取/输入 $0.7；缓存写入 $8.75
claude_max_外接: 标准: 输入 $7；输出 $35；缓存读取/输入 $0.7；缓存写入 $8.75</x:v>
      </x:c>
      <x:c r="I8" s="24" t="n">
        <x:f>COUNTIF('价格明细'!$B$6:$B$200,B8)</x:f>
        <x:v>2</x:v>
      </x:c>
      <x:c r="J8" s="16" t="str">
        <x:v>anthropic, openai</x:v>
      </x:c>
      <x:c r="K8" s="16" t="str"/>
      <x:c r="L8" s="16" t="str">
        <x:v>https://platform.frimodel.com/pricing</x:v>
      </x:c>
      <x:c r="M8" s="16" t="str">
        <x:v>2026-08-10</x:v>
      </x:c>
    </x:row>
    <x:row r="9" ht="42" customHeight="1">
      <x:c r="A9" s="23" t="n">
        <x:v>3</x:v>
      </x:c>
      <x:c r="B9" s="15" t="str">
        <x:v>claude-opus-4-7</x:v>
      </x:c>
      <x:c r="C9" s="15" t="str">
        <x:v>Anthropic</x:v>
      </x:c>
      <x:c r="D9" s="15" t="str">
        <x:v>按量计费</x:v>
      </x:c>
      <x:c r="E9" s="15" t="str">
        <x:v>claude_max、claude_max_外接</x:v>
      </x:c>
      <x:c r="F9" s="15" t="str">
        <x:v>claude_max 1.4x；claude_max_外接 1.4x</x:v>
      </x:c>
      <x:c r="G9" s="16" t="str">
        <x:v>输入 $5；输出 $25；缓存输入 $0.5；缓存写入 $6.25（每 1M tokens）</x:v>
      </x:c>
      <x:c r="H9" s="16" t="str">
        <x:v>claude_max: 标准: 输入 $7；输出 $35；缓存读取/输入 $0.7；缓存写入 $8.75
claude_max_外接: 标准: 输入 $7；输出 $35；缓存读取/输入 $0.7；缓存写入 $8.75</x:v>
      </x:c>
      <x:c r="I9" s="24" t="n">
        <x:f>COUNTIF('价格明细'!$B$6:$B$200,B9)</x:f>
        <x:v>2</x:v>
      </x:c>
      <x:c r="J9" s="16" t="str">
        <x:v>anthropic, openai</x:v>
      </x:c>
      <x:c r="K9" s="16" t="str"/>
      <x:c r="L9" s="16" t="str">
        <x:v>https://platform.frimodel.com/pricing</x:v>
      </x:c>
      <x:c r="M9" s="16" t="str">
        <x:v>2026-08-10</x:v>
      </x:c>
    </x:row>
    <x:row r="10" ht="42" customHeight="1">
      <x:c r="A10" s="23" t="n">
        <x:v>4</x:v>
      </x:c>
      <x:c r="B10" s="15" t="str">
        <x:v>claude-opus-4-8</x:v>
      </x:c>
      <x:c r="C10" s="15" t="str">
        <x:v>Anthropic</x:v>
      </x:c>
      <x:c r="D10" s="15" t="str">
        <x:v>按量计费</x:v>
      </x:c>
      <x:c r="E10" s="15" t="str">
        <x:v>claude_max、claude_max_外接</x:v>
      </x:c>
      <x:c r="F10" s="15" t="str">
        <x:v>claude_max 1.4x；claude_max_外接 1.4x</x:v>
      </x:c>
      <x:c r="G10" s="16" t="str">
        <x:v>输入 $5；输出 $25；缓存输入 $0.5；缓存写入 $6.25（每 1M tokens）</x:v>
      </x:c>
      <x:c r="H10" s="16" t="str">
        <x:v>claude_max: 标准: 输入 $7；输出 $35；缓存读取/输入 $0.7；缓存写入 $8.75
claude_max_外接: 标准: 输入 $7；输出 $35；缓存读取/输入 $0.7；缓存写入 $8.75</x:v>
      </x:c>
      <x:c r="I10" s="24" t="n">
        <x:f>COUNTIF('价格明细'!$B$6:$B$200,B10)</x:f>
        <x:v>2</x:v>
      </x:c>
      <x:c r="J10" s="16" t="str">
        <x:v>anthropic, openai</x:v>
      </x:c>
      <x:c r="K10" s="16" t="str"/>
      <x:c r="L10" s="16" t="str">
        <x:v>https://platform.frimodel.com/pricing</x:v>
      </x:c>
      <x:c r="M10" s="16" t="str">
        <x:v>2026-08-10</x:v>
      </x:c>
    </x:row>
    <x:row r="11" ht="42" customHeight="1">
      <x:c r="A11" s="23" t="n">
        <x:v>5</x:v>
      </x:c>
      <x:c r="B11" s="15" t="str">
        <x:v>claude-opus-5</x:v>
      </x:c>
      <x:c r="C11" s="15" t="str">
        <x:v>Anthropic</x:v>
      </x:c>
      <x:c r="D11" s="15" t="str">
        <x:v>按量计费</x:v>
      </x:c>
      <x:c r="E11" s="15" t="str">
        <x:v>claude_max</x:v>
      </x:c>
      <x:c r="F11" s="15" t="str">
        <x:v>claude_max 1.4x</x:v>
      </x:c>
      <x:c r="G11" s="16" t="str">
        <x:v>输入 $5；输出 $25；缓存输入 $0.5（每 1M tokens）</x:v>
      </x:c>
      <x:c r="H11" s="16" t="str">
        <x:v>claude_max: 标准: 输入 $7；输出 $35；缓存读取/输入 $0.7</x:v>
      </x:c>
      <x:c r="I11" s="24" t="n">
        <x:f>COUNTIF('价格明细'!$B$6:$B$200,B11)</x:f>
        <x:v>1</x:v>
      </x:c>
      <x:c r="J11" s="16" t="str">
        <x:v>anthropic, openai</x:v>
      </x:c>
      <x:c r="K11" s="16" t="str"/>
      <x:c r="L11" s="16" t="str">
        <x:v>https://platform.frimodel.com/pricing</x:v>
      </x:c>
      <x:c r="M11" s="16" t="str">
        <x:v>2026-08-10</x:v>
      </x:c>
    </x:row>
    <x:row r="12" ht="42" customHeight="1">
      <x:c r="A12" s="23" t="n">
        <x:v>6</x:v>
      </x:c>
      <x:c r="B12" s="15" t="str">
        <x:v>claude-sonnet-4-6</x:v>
      </x:c>
      <x:c r="C12" s="15" t="str">
        <x:v>Anthropic</x:v>
      </x:c>
      <x:c r="D12" s="15" t="str">
        <x:v>按量计费</x:v>
      </x:c>
      <x:c r="E12" s="15" t="str">
        <x:v>claude_max、claude_max_外接</x:v>
      </x:c>
      <x:c r="F12" s="15" t="str">
        <x:v>claude_max 1.4x；claude_max_外接 1.4x</x:v>
      </x:c>
      <x:c r="G12" s="16" t="str">
        <x:v>输入 $75；输出 $375；缓存写入 $93.75（每 1M tokens）</x:v>
      </x:c>
      <x:c r="H12" s="16" t="str">
        <x:v>claude_max: 标准: 输入 $105；输出 $525；缓存写入 $131.25
claude_max_外接: 标准: 输入 $105；输出 $525；缓存写入 $131.25</x:v>
      </x:c>
      <x:c r="I12" s="24" t="n">
        <x:f>COUNTIF('价格明细'!$B$6:$B$200,B12)</x:f>
        <x:v>2</x:v>
      </x:c>
      <x:c r="J12" s="16" t="str">
        <x:v>anthropic, openai</x:v>
      </x:c>
      <x:c r="K12" s="16" t="str"/>
      <x:c r="L12" s="16" t="str">
        <x:v>https://platform.frimodel.com/pricing</x:v>
      </x:c>
      <x:c r="M12" s="16" t="str">
        <x:v>2026-08-10</x:v>
      </x:c>
    </x:row>
    <x:row r="13" ht="42" customHeight="1">
      <x:c r="A13" s="23" t="n">
        <x:v>7</x:v>
      </x:c>
      <x:c r="B13" s="15" t="str">
        <x:v>claude-sonnet-5</x:v>
      </x:c>
      <x:c r="C13" s="15" t="str">
        <x:v>Anthropic</x:v>
      </x:c>
      <x:c r="D13" s="15" t="str">
        <x:v>按量计费</x:v>
      </x:c>
      <x:c r="E13" s="15" t="str">
        <x:v>claude_max、claude_max_外接</x:v>
      </x:c>
      <x:c r="F13" s="15" t="str">
        <x:v>claude_max 1.4x；claude_max_外接 1.4x</x:v>
      </x:c>
      <x:c r="G13" s="16" t="str">
        <x:v>输入 $2；输出 $10；缓存输入 $0.2（每 1M tokens）</x:v>
      </x:c>
      <x:c r="H13" s="16" t="str">
        <x:v>claude_max: 标准: 输入 $2.8；输出 $14；缓存读取/输入 $0.28
claude_max_外接: 标准: 输入 $2.8；输出 $14；缓存读取/输入 $0.28</x:v>
      </x:c>
      <x:c r="I13" s="24" t="n">
        <x:f>COUNTIF('价格明细'!$B$6:$B$200,B13)</x:f>
        <x:v>2</x:v>
      </x:c>
      <x:c r="J13" s="16" t="str">
        <x:v>anthropic, openai</x:v>
      </x:c>
      <x:c r="K13" s="16" t="str"/>
      <x:c r="L13" s="16" t="str">
        <x:v>https://platform.frimodel.com/pricing</x:v>
      </x:c>
      <x:c r="M13" s="16" t="str">
        <x:v>2026-08-10</x:v>
      </x:c>
    </x:row>
    <x:row r="14" ht="42" customHeight="1">
      <x:c r="A14" s="23" t="n">
        <x:v>8</x:v>
      </x:c>
      <x:c r="B14" s="15" t="str">
        <x:v>codex-auto-review</x:v>
      </x:c>
      <x:c r="C14" s="15" t="str">
        <x:v>OpenAI</x:v>
      </x:c>
      <x:c r="D14" s="15" t="str">
        <x:v>按量计费</x:v>
      </x:c>
      <x:c r="E14" s="15" t="str">
        <x:v>default</x:v>
      </x:c>
      <x:c r="F14" s="15" t="str">
        <x:v>default 0.25x</x:v>
      </x:c>
      <x:c r="G14" s="16" t="str">
        <x:v>输入 $2；输出 $12；缓存输入 $0.2（每 1M tokens）</x:v>
      </x:c>
      <x:c r="H14" s="16" t="str">
        <x:v>default: 标准: 输入 $0.5；输出 $3；缓存读取/输入 $0.05</x:v>
      </x:c>
      <x:c r="I14" s="24" t="n">
        <x:f>COUNTIF('价格明细'!$B$6:$B$200,B14)</x:f>
        <x:v>1</x:v>
      </x:c>
      <x:c r="J14" s="16" t="str">
        <x:v>openai</x:v>
      </x:c>
      <x:c r="K14" s="16" t="str"/>
      <x:c r="L14" s="16" t="str">
        <x:v>https://platform.frimodel.com/pricing</x:v>
      </x:c>
      <x:c r="M14" s="16" t="str">
        <x:v>2026-08-10</x:v>
      </x:c>
    </x:row>
    <x:row r="15" ht="42" customHeight="1">
      <x:c r="A15" s="23" t="n">
        <x:v>9</x:v>
      </x:c>
      <x:c r="B15" s="15" t="str">
        <x:v>doubao-seedance-2-0-260128</x:v>
      </x:c>
      <x:c r="C15" s="15" t="str">
        <x:v>字节跳动</x:v>
      </x:c>
      <x:c r="D15" s="15" t="str">
        <x:v>动态计费</x:v>
      </x:c>
      <x:c r="E15" s="15" t="str">
        <x:v>Seedance2.0</x:v>
      </x:c>
      <x:c r="F15" s="15" t="str">
        <x:v>Seedance2.0 1x</x:v>
      </x:c>
      <x:c r="G15" s="16" t="str">
        <x:v>$1/秒</x:v>
      </x:c>
      <x:c r="H15" s="16" t="str">
        <x:v>Seedance2.0: 720p: $1/秒 | 1080p: $1.2/秒</x:v>
      </x:c>
      <x:c r="I15" s="24" t="n">
        <x:f>COUNTIF('价格明细'!$B$6:$B$200,B15)</x:f>
        <x:v>2</x:v>
      </x:c>
      <x:c r="J15" s="16" t="str">
        <x:v>openai</x:v>
      </x:c>
      <x:c r="K15" s="16" t="str"/>
      <x:c r="L15" s="16" t="str">
        <x:v>https://platform.frimodel.com/pricing</x:v>
      </x:c>
      <x:c r="M15" s="16" t="str">
        <x:v>2026-08-10</x:v>
      </x:c>
    </x:row>
    <x:row r="16" ht="42" customHeight="1">
      <x:c r="A16" s="23" t="n">
        <x:v>10</x:v>
      </x:c>
      <x:c r="B16" s="15" t="str">
        <x:v>doubao-seedance-2-0-fast-260128</x:v>
      </x:c>
      <x:c r="C16" s="15" t="str">
        <x:v>字节跳动</x:v>
      </x:c>
      <x:c r="D16" s="15" t="str">
        <x:v>动态计费</x:v>
      </x:c>
      <x:c r="E16" s="15" t="str">
        <x:v>Seedance2.0</x:v>
      </x:c>
      <x:c r="F16" s="15" t="str">
        <x:v>Seedance2.0 1x</x:v>
      </x:c>
      <x:c r="G16" s="16" t="str">
        <x:v>$1/秒</x:v>
      </x:c>
      <x:c r="H16" s="16" t="str">
        <x:v>Seedance2.0: per_second: $1/秒</x:v>
      </x:c>
      <x:c r="I16" s="24" t="n">
        <x:f>COUNTIF('价格明细'!$B$6:$B$200,B16)</x:f>
        <x:v>1</x:v>
      </x:c>
      <x:c r="J16" s="16" t="str">
        <x:v>openai</x:v>
      </x:c>
      <x:c r="K16" s="16" t="str"/>
      <x:c r="L16" s="16" t="str">
        <x:v>https://platform.frimodel.com/pricing</x:v>
      </x:c>
      <x:c r="M16" s="16" t="str">
        <x:v>2026-08-10</x:v>
      </x:c>
    </x:row>
    <x:row r="17" ht="42" customHeight="1">
      <x:c r="A17" s="23" t="n">
        <x:v>11</x:v>
      </x:c>
      <x:c r="B17" s="15" t="str">
        <x:v>gemini-3-pro-image-preview</x:v>
      </x:c>
      <x:c r="C17" s="15" t="str">
        <x:v>Google</x:v>
      </x:c>
      <x:c r="D17" s="15" t="str">
        <x:v>按量计费</x:v>
      </x:c>
      <x:c r="E17" s="15" t="str">
        <x:v>gemini_image、test</x:v>
      </x:c>
      <x:c r="F17" s="15" t="str">
        <x:v>gemini_image 1x；test 1x</x:v>
      </x:c>
      <x:c r="G17" s="16" t="str">
        <x:v>输入 $75；输出 $4,500（每 1M tokens）</x:v>
      </x:c>
      <x:c r="H17" s="16" t="str">
        <x:v>gemini_image: 标准: 输入 $75；输出 $4500
test: 标准: 输入 $75；输出 $4500</x:v>
      </x:c>
      <x:c r="I17" s="24" t="n">
        <x:f>COUNTIF('价格明细'!$B$6:$B$200,B17)</x:f>
        <x:v>2</x:v>
      </x:c>
      <x:c r="J17" s="16" t="str">
        <x:v>gemini, openai</x:v>
      </x:c>
      <x:c r="K17" s="16" t="str"/>
      <x:c r="L17" s="16" t="str">
        <x:v>https://platform.frimodel.com/pricing</x:v>
      </x:c>
      <x:c r="M17" s="16" t="str">
        <x:v>2026-08-10</x:v>
      </x:c>
    </x:row>
    <x:row r="18" ht="42" customHeight="1">
      <x:c r="A18" s="23" t="n">
        <x:v>12</x:v>
      </x:c>
      <x:c r="B18" s="15" t="str">
        <x:v>gemini-3.1-flash-image-preview</x:v>
      </x:c>
      <x:c r="C18" s="15" t="str">
        <x:v>Google</x:v>
      </x:c>
      <x:c r="D18" s="15" t="str">
        <x:v>按次计费</x:v>
      </x:c>
      <x:c r="E18" s="15" t="str">
        <x:v>gemini_image、test</x:v>
      </x:c>
      <x:c r="F18" s="15" t="str">
        <x:v>gemini_image 1x；test 1x</x:v>
      </x:c>
      <x:c r="G18" s="16" t="str">
        <x:v>$0.1/请求</x:v>
      </x:c>
      <x:c r="H18" s="16" t="str">
        <x:v>gemini_image: 标准: $0.1/请求
test: 标准: $0.1/请求</x:v>
      </x:c>
      <x:c r="I18" s="24" t="n">
        <x:f>COUNTIF('价格明细'!$B$6:$B$200,B18)</x:f>
        <x:v>2</x:v>
      </x:c>
      <x:c r="J18" s="16" t="str">
        <x:v>gemini, openai</x:v>
      </x:c>
      <x:c r="K18" s="16" t="str"/>
      <x:c r="L18" s="16" t="str">
        <x:v>https://platform.frimodel.com/pricing</x:v>
      </x:c>
      <x:c r="M18" s="16" t="str">
        <x:v>2026-08-10</x:v>
      </x:c>
    </x:row>
    <x:row r="19" ht="42" customHeight="1">
      <x:c r="A19" s="23" t="n">
        <x:v>13</x:v>
      </x:c>
      <x:c r="B19" s="15" t="str">
        <x:v>gpt-5.4</x:v>
      </x:c>
      <x:c r="C19" s="15" t="str">
        <x:v>OpenAI</x:v>
      </x:c>
      <x:c r="D19" s="15" t="str">
        <x:v>按量计费</x:v>
      </x:c>
      <x:c r="E19" s="15" t="str">
        <x:v>default</x:v>
      </x:c>
      <x:c r="F19" s="15" t="str">
        <x:v>default 0.25x</x:v>
      </x:c>
      <x:c r="G19" s="16" t="str">
        <x:v>输入 $2.5；输出 $15；缓存输入 $0.25（每 1M tokens）</x:v>
      </x:c>
      <x:c r="H19" s="16" t="str">
        <x:v>default: 标准: 输入 $0.625；输出 $3.75；缓存读取/输入 $0.0625</x:v>
      </x:c>
      <x:c r="I19" s="24" t="n">
        <x:f>COUNTIF('价格明细'!$B$6:$B$200,B19)</x:f>
        <x:v>1</x:v>
      </x:c>
      <x:c r="J19" s="16" t="str">
        <x:v>openai</x:v>
      </x:c>
      <x:c r="K19" s="16" t="str"/>
      <x:c r="L19" s="16" t="str">
        <x:v>https://platform.frimodel.com/pricing</x:v>
      </x:c>
      <x:c r="M19" s="16" t="str">
        <x:v>2026-08-10</x:v>
      </x:c>
    </x:row>
    <x:row r="20" ht="42" customHeight="1">
      <x:c r="A20" s="23" t="n">
        <x:v>14</x:v>
      </x:c>
      <x:c r="B20" s="15" t="str">
        <x:v>gpt-5.4-mini</x:v>
      </x:c>
      <x:c r="C20" s="15" t="str">
        <x:v>OpenAI</x:v>
      </x:c>
      <x:c r="D20" s="15" t="str">
        <x:v>按量计费</x:v>
      </x:c>
      <x:c r="E20" s="15" t="str">
        <x:v>default</x:v>
      </x:c>
      <x:c r="F20" s="15" t="str">
        <x:v>default 0.25x</x:v>
      </x:c>
      <x:c r="G20" s="16" t="str">
        <x:v>输入 $0.75；输出 $4.5；缓存输入 $0.075（每 1M tokens）</x:v>
      </x:c>
      <x:c r="H20" s="16" t="str">
        <x:v>default: 标准: 输入 $0.1875；输出 $1.125；缓存读取/输入 $0.01875</x:v>
      </x:c>
      <x:c r="I20" s="24" t="n">
        <x:f>COUNTIF('价格明细'!$B$6:$B$200,B20)</x:f>
        <x:v>1</x:v>
      </x:c>
      <x:c r="J20" s="16" t="str">
        <x:v>openai</x:v>
      </x:c>
      <x:c r="K20" s="16" t="str"/>
      <x:c r="L20" s="16" t="str">
        <x:v>https://platform.frimodel.com/pricing</x:v>
      </x:c>
      <x:c r="M20" s="16" t="str">
        <x:v>2026-08-10</x:v>
      </x:c>
    </x:row>
    <x:row r="21" ht="42" customHeight="1">
      <x:c r="A21" s="23" t="n">
        <x:v>15</x:v>
      </x:c>
      <x:c r="B21" s="15" t="str">
        <x:v>gpt-5.4-openai-compact</x:v>
      </x:c>
      <x:c r="C21" s="15" t="str">
        <x:v>OpenAI</x:v>
      </x:c>
      <x:c r="D21" s="15" t="str">
        <x:v>按量计费</x:v>
      </x:c>
      <x:c r="E21" s="15" t="str">
        <x:v>default</x:v>
      </x:c>
      <x:c r="F21" s="15" t="str">
        <x:v>default 0.25x</x:v>
      </x:c>
      <x:c r="G21" s="16" t="str">
        <x:v>输入 $2.5；输出 $15；缓存输入 $0.25（每 1M tokens）</x:v>
      </x:c>
      <x:c r="H21" s="16" t="str">
        <x:v>default: 标准: 输入 $0.625；输出 $3.75；缓存读取/输入 $0.0625</x:v>
      </x:c>
      <x:c r="I21" s="24" t="n">
        <x:f>COUNTIF('价格明细'!$B$6:$B$200,B21)</x:f>
        <x:v>1</x:v>
      </x:c>
      <x:c r="J21" s="16" t="str">
        <x:v>openai</x:v>
      </x:c>
      <x:c r="K21" s="16" t="str"/>
      <x:c r="L21" s="16" t="str">
        <x:v>https://platform.frimodel.com/pricing</x:v>
      </x:c>
      <x:c r="M21" s="16" t="str">
        <x:v>2026-08-10</x:v>
      </x:c>
    </x:row>
    <x:row r="22" ht="42" customHeight="1">
      <x:c r="A22" s="23" t="n">
        <x:v>16</x:v>
      </x:c>
      <x:c r="B22" s="15" t="str">
        <x:v>gpt-5.5</x:v>
      </x:c>
      <x:c r="C22" s="15" t="str">
        <x:v>OpenAI</x:v>
      </x:c>
      <x:c r="D22" s="15" t="str">
        <x:v>动态计费</x:v>
      </x:c>
      <x:c r="E22" s="15" t="str">
        <x:v>default</x:v>
      </x:c>
      <x:c r="F22" s="15" t="str">
        <x:v>default 0.25x</x:v>
      </x:c>
      <x:c r="G22" s="16" t="str">
        <x:v>输入 $5；输出 $30；缓存读取 $0.5（每 1M tokens）</x:v>
      </x:c>
      <x:c r="H22" s="16" t="str">
        <x:v>default: 标准上下文（Length &lt; 272K）: 输入 $1.25；输出 $7.5；缓存读取/输入 $0.125 | 长上下文（Length ≥ 272K）: 输入 $2.5；输出 $11.25；缓存读取/输入 $0.25</x:v>
      </x:c>
      <x:c r="I22" s="24" t="n">
        <x:f>COUNTIF('价格明细'!$B$6:$B$200,B22)</x:f>
        <x:v>2</x:v>
      </x:c>
      <x:c r="J22" s="16" t="str">
        <x:v>openai</x:v>
      </x:c>
      <x:c r="K22" s="16" t="str"/>
      <x:c r="L22" s="16" t="str">
        <x:v>https://platform.frimodel.com/pricing</x:v>
      </x:c>
      <x:c r="M22" s="16" t="str">
        <x:v>2026-08-10</x:v>
      </x:c>
    </x:row>
    <x:row r="23" ht="42" customHeight="1">
      <x:c r="A23" s="23" t="n">
        <x:v>17</x:v>
      </x:c>
      <x:c r="B23" s="15" t="str">
        <x:v>gpt-5.5-openai-compact</x:v>
      </x:c>
      <x:c r="C23" s="15" t="str">
        <x:v>OpenAI</x:v>
      </x:c>
      <x:c r="D23" s="15" t="str">
        <x:v>动态计费</x:v>
      </x:c>
      <x:c r="E23" s="15" t="str">
        <x:v>default</x:v>
      </x:c>
      <x:c r="F23" s="15" t="str">
        <x:v>default 0.25x</x:v>
      </x:c>
      <x:c r="G23" s="16" t="str">
        <x:v>输入 $5；输出 $30；缓存读取 $0.5（每 1M tokens）</x:v>
      </x:c>
      <x:c r="H23" s="16" t="str">
        <x:v>default: 标准上下文（Length ≤ 272K）: 输入 $1.25；输出 $7.5；缓存读取/输入 $0.125 | 长上下文（Length &lt; 272K）: 输入 $2.5；输出 $11.25；缓存读取/输入 $0.25</x:v>
      </x:c>
      <x:c r="I23" s="24" t="n">
        <x:f>COUNTIF('价格明细'!$B$6:$B$200,B23)</x:f>
        <x:v>2</x:v>
      </x:c>
      <x:c r="J23" s="16" t="str">
        <x:v>openai</x:v>
      </x:c>
      <x:c r="K23" s="16" t="str">
        <x:v>详情页条件原文疑似冲突：标准上下文为 Length ≤ 272K，长上下文为 Length &lt; 272K；表格按页面原文记录，未擅自修正。</x:v>
      </x:c>
      <x:c r="L23" s="16" t="str">
        <x:v>https://platform.frimodel.com/pricing</x:v>
      </x:c>
      <x:c r="M23" s="16" t="str">
        <x:v>2026-08-10</x:v>
      </x:c>
    </x:row>
    <x:row r="24" ht="42" customHeight="1">
      <x:c r="A24" s="23" t="n">
        <x:v>18</x:v>
      </x:c>
      <x:c r="B24" s="15" t="str">
        <x:v>gpt-5.6-luna</x:v>
      </x:c>
      <x:c r="C24" s="15" t="str">
        <x:v>OpenAI</x:v>
      </x:c>
      <x:c r="D24" s="15" t="str">
        <x:v>动态计费</x:v>
      </x:c>
      <x:c r="E24" s="15" t="str">
        <x:v>default</x:v>
      </x:c>
      <x:c r="F24" s="15" t="str">
        <x:v>default 0.25x</x:v>
      </x:c>
      <x:c r="G24" s="16" t="str">
        <x:v>输入 $1；输出 $6；缓存读取 $0.1；缓存写入 $1.25（每 1M tokens）</x:v>
      </x:c>
      <x:c r="H24" s="16" t="str">
        <x:v>default: 标准上下文（Length &lt; 272K）: 输入 $0.25；输出 $1.5；缓存读取/输入 $0.025；缓存写入 $0.3125 | 长上下文（Length ≥ 272K）: 输入 $0.5；输出 $3；缓存读取/输入 $0.05；缓存写入 $0.625</x:v>
      </x:c>
      <x:c r="I24" s="24" t="n">
        <x:f>COUNTIF('价格明细'!$B$6:$B$200,B24)</x:f>
        <x:v>2</x:v>
      </x:c>
      <x:c r="J24" s="16" t="str">
        <x:v>openai</x:v>
      </x:c>
      <x:c r="K24" s="16" t="str"/>
      <x:c r="L24" s="16" t="str">
        <x:v>https://platform.frimodel.com/pricing</x:v>
      </x:c>
      <x:c r="M24" s="16" t="str">
        <x:v>2026-08-10</x:v>
      </x:c>
    </x:row>
    <x:row r="25" ht="42" customHeight="1">
      <x:c r="A25" s="23" t="n">
        <x:v>19</x:v>
      </x:c>
      <x:c r="B25" s="15" t="str">
        <x:v>gpt-5.6-sol</x:v>
      </x:c>
      <x:c r="C25" s="15" t="str">
        <x:v>OpenAI</x:v>
      </x:c>
      <x:c r="D25" s="15" t="str">
        <x:v>动态计费</x:v>
      </x:c>
      <x:c r="E25" s="15" t="str">
        <x:v>default</x:v>
      </x:c>
      <x:c r="F25" s="15" t="str">
        <x:v>default 0.25x</x:v>
      </x:c>
      <x:c r="G25" s="16" t="str">
        <x:v>输入 $5；输出 $30；缓存读取 $0.5；缓存写入 $6.25（每 1M tokens）</x:v>
      </x:c>
      <x:c r="H25" s="16" t="str">
        <x:v>default: 标准上下文（Length &lt; 272K）: 输入 $1.25；输出 $7.5；缓存读取/输入 $0.125；缓存写入 $1.5625 | 长上下文（Length ≥ 272K）: 输入 $2.5；输出 $11.25；缓存读取/输入 $0.25；缓存写入 $3.125</x:v>
      </x:c>
      <x:c r="I25" s="24" t="n">
        <x:f>COUNTIF('价格明细'!$B$6:$B$200,B25)</x:f>
        <x:v>2</x:v>
      </x:c>
      <x:c r="J25" s="16" t="str">
        <x:v>openai</x:v>
      </x:c>
      <x:c r="K25" s="16" t="str"/>
      <x:c r="L25" s="16" t="str">
        <x:v>https://platform.frimodel.com/pricing</x:v>
      </x:c>
      <x:c r="M25" s="16" t="str">
        <x:v>2026-08-10</x:v>
      </x:c>
    </x:row>
    <x:row r="26" ht="42" customHeight="1">
      <x:c r="A26" s="23" t="n">
        <x:v>20</x:v>
      </x:c>
      <x:c r="B26" s="15" t="str">
        <x:v>gpt-5.6-terra</x:v>
      </x:c>
      <x:c r="C26" s="15" t="str">
        <x:v>OpenAI</x:v>
      </x:c>
      <x:c r="D26" s="15" t="str">
        <x:v>动态计费</x:v>
      </x:c>
      <x:c r="E26" s="15" t="str">
        <x:v>default</x:v>
      </x:c>
      <x:c r="F26" s="15" t="str">
        <x:v>default 0.25x</x:v>
      </x:c>
      <x:c r="G26" s="16" t="str">
        <x:v>输入 $2；输出 $12；缓存读取 $0.2；缓存写入 $2.5（每 1M tokens）</x:v>
      </x:c>
      <x:c r="H26" s="16" t="str">
        <x:v>default: 标准上下文（Length &lt; 272K）: 输入 $0.5；输出 $3；缓存读取/输入 $0.05；缓存写入 $0.625 | 长上下文（Length ≥ 272K）: 输入 $1；输出 $4.5；缓存读取/输入 $0.1；缓存写入 $1.25</x:v>
      </x:c>
      <x:c r="I26" s="24" t="n">
        <x:f>COUNTIF('价格明细'!$B$6:$B$200,B26)</x:f>
        <x:v>2</x:v>
      </x:c>
      <x:c r="J26" s="16" t="str">
        <x:v>openai</x:v>
      </x:c>
      <x:c r="K26" s="16" t="str"/>
      <x:c r="L26" s="16" t="str">
        <x:v>https://platform.frimodel.com/pricing</x:v>
      </x:c>
      <x:c r="M26" s="16" t="str">
        <x:v>2026-08-10</x:v>
      </x:c>
    </x:row>
    <x:row r="27" ht="42" customHeight="1">
      <x:c r="A27" s="23" t="n">
        <x:v>21</x:v>
      </x:c>
      <x:c r="B27" s="15" t="str">
        <x:v>gpt-image-2</x:v>
      </x:c>
      <x:c r="C27" s="15" t="str">
        <x:v>OpenAI</x:v>
      </x:c>
      <x:c r="D27" s="15" t="str">
        <x:v>按次计费</x:v>
      </x:c>
      <x:c r="E27" s="15" t="str">
        <x:v>codex_image、gpt_image_web</x:v>
      </x:c>
      <x:c r="F27" s="15" t="str">
        <x:v>codex_image 0.4x；gpt_image_web 0.4x</x:v>
      </x:c>
      <x:c r="G27" s="16" t="str">
        <x:v>$0.07/请求</x:v>
      </x:c>
      <x:c r="H27" s="16" t="str">
        <x:v>codex_image: 标准: $0.028/请求
gpt_image_web: 标准: $0.028/请求</x:v>
      </x:c>
      <x:c r="I27" s="24" t="n">
        <x:f>COUNTIF('价格明细'!$B$6:$B$200,B27)</x:f>
        <x:v>2</x:v>
      </x:c>
      <x:c r="J27" s="16" t="str">
        <x:v>openai</x:v>
      </x:c>
      <x:c r="K27" s="16" t="str"/>
      <x:c r="L27" s="16" t="str">
        <x:v>https://platform.frimodel.com/pricing</x:v>
      </x:c>
      <x:c r="M27" s="16" t="str">
        <x:v>2026-08-10</x:v>
      </x:c>
    </x:row>
    <x:row r="28" ht="42" customHeight="1">
      <x:c r="A28" s="23" t="n">
        <x:v>22</x:v>
      </x:c>
      <x:c r="B28" s="15" t="str">
        <x:v>gpt-image-2-adobe</x:v>
      </x:c>
      <x:c r="C28" s="15" t="str">
        <x:v>OpenAI</x:v>
      </x:c>
      <x:c r="D28" s="15" t="str">
        <x:v>按次计费</x:v>
      </x:c>
      <x:c r="E28" s="15" t="str">
        <x:v>gpt_image_adobe</x:v>
      </x:c>
      <x:c r="F28" s="15" t="str">
        <x:v>gpt_image_adobe 1x</x:v>
      </x:c>
      <x:c r="G28" s="16" t="str">
        <x:v>$0.07/请求</x:v>
      </x:c>
      <x:c r="H28" s="16" t="str">
        <x:v>gpt_image_adobe: 标准: $0.07/请求</x:v>
      </x:c>
      <x:c r="I28" s="24" t="n">
        <x:f>COUNTIF('价格明细'!$B$6:$B$200,B28)</x:f>
        <x:v>1</x:v>
      </x:c>
      <x:c r="J28" s="16" t="str">
        <x:v>openai</x:v>
      </x:c>
      <x:c r="K28" s="16" t="str"/>
      <x:c r="L28" s="16" t="str">
        <x:v>https://platform.frimodel.com/pricing</x:v>
      </x:c>
      <x:c r="M28" s="16" t="str">
        <x:v>2026-08-10</x:v>
      </x:c>
    </x:row>
    <x:row r="29" ht="42" customHeight="1">
      <x:c r="A29" s="23" t="n">
        <x:v>23</x:v>
      </x:c>
      <x:c r="B29" s="15" t="str">
        <x:v>gpt-image-2-high</x:v>
      </x:c>
      <x:c r="C29" s="15" t="str">
        <x:v>OpenAI</x:v>
      </x:c>
      <x:c r="D29" s="15" t="str">
        <x:v>按次计费</x:v>
      </x:c>
      <x:c r="E29" s="15" t="str">
        <x:v>gpt_image_adobe</x:v>
      </x:c>
      <x:c r="F29" s="15" t="str">
        <x:v>gpt_image_adobe 1x</x:v>
      </x:c>
      <x:c r="G29" s="16" t="str">
        <x:v>$0.07/请求</x:v>
      </x:c>
      <x:c r="H29" s="16" t="str">
        <x:v>gpt_image_adobe: 标准: $0.07/请求</x:v>
      </x:c>
      <x:c r="I29" s="24" t="n">
        <x:f>COUNTIF('价格明细'!$B$6:$B$200,B29)</x:f>
        <x:v>1</x:v>
      </x:c>
      <x:c r="J29" s="16" t="str">
        <x:v>openai</x:v>
      </x:c>
      <x:c r="K29" s="16" t="str"/>
      <x:c r="L29" s="16" t="str">
        <x:v>https://platform.frimodel.com/pricing</x:v>
      </x:c>
      <x:c r="M29" s="16" t="str">
        <x:v>2026-08-10</x:v>
      </x:c>
    </x:row>
    <x:row r="30" ht="42" customHeight="1">
      <x:c r="A30" s="23" t="n">
        <x:v>24</x:v>
      </x:c>
      <x:c r="B30" s="15" t="str">
        <x:v>gpt-image-2-medium</x:v>
      </x:c>
      <x:c r="C30" s="15" t="str">
        <x:v>OpenAI</x:v>
      </x:c>
      <x:c r="D30" s="15" t="str">
        <x:v>按次计费</x:v>
      </x:c>
      <x:c r="E30" s="15" t="str">
        <x:v>gpt_image_adobe</x:v>
      </x:c>
      <x:c r="F30" s="15" t="str">
        <x:v>gpt_image_adobe 1x</x:v>
      </x:c>
      <x:c r="G30" s="16" t="str">
        <x:v>$0.07/请求</x:v>
      </x:c>
      <x:c r="H30" s="16" t="str">
        <x:v>gpt_image_adobe: 标准: $0.07/请求</x:v>
      </x:c>
      <x:c r="I30" s="24" t="n">
        <x:f>COUNTIF('价格明细'!$B$6:$B$200,B30)</x:f>
        <x:v>1</x:v>
      </x:c>
      <x:c r="J30" s="16" t="str">
        <x:v>openai</x:v>
      </x:c>
      <x:c r="K30" s="16" t="str"/>
      <x:c r="L30" s="16" t="str">
        <x:v>https://platform.frimodel.com/pricing</x:v>
      </x:c>
      <x:c r="M30" s="16" t="str">
        <x:v>2026-08-10</x:v>
      </x:c>
    </x:row>
    <x:row r="31" ht="42" customHeight="1">
      <x:c r="A31" s="23" t="n">
        <x:v>25</x:v>
      </x:c>
      <x:c r="B31" s="15" t="str">
        <x:v>gpt-image-2-w</x:v>
      </x:c>
      <x:c r="C31" s="15" t="str">
        <x:v>OpenAI</x:v>
      </x:c>
      <x:c r="D31" s="15" t="str">
        <x:v>按次计费</x:v>
      </x:c>
      <x:c r="E31" s="15" t="str">
        <x:v>codex_image、gpt_image_web</x:v>
      </x:c>
      <x:c r="F31" s="15" t="str">
        <x:v>codex_image 0.4x；gpt_image_web 0.4x</x:v>
      </x:c>
      <x:c r="G31" s="16" t="str">
        <x:v>$0.07/请求</x:v>
      </x:c>
      <x:c r="H31" s="16" t="str">
        <x:v>codex_image: 标准: $0.028/请求
gpt_image_web: 标准: $0.028/请求</x:v>
      </x:c>
      <x:c r="I31" s="24" t="n">
        <x:f>COUNTIF('价格明细'!$B$6:$B$200,B31)</x:f>
        <x:v>2</x:v>
      </x:c>
      <x:c r="J31" s="16" t="str">
        <x:v>openai</x:v>
      </x:c>
      <x:c r="K31" s="16" t="str"/>
      <x:c r="L31" s="16" t="str">
        <x:v>https://platform.frimodel.com/pricing</x:v>
      </x:c>
      <x:c r="M31" s="16" t="str">
        <x:v>2026-08-10</x:v>
      </x:c>
    </x:row>
    <x:row r="32" ht="42" customHeight="1">
      <x:c r="A32" s="23" t="n">
        <x:v>26</x:v>
      </x:c>
      <x:c r="B32" s="15" t="str">
        <x:v>grok-imagine-image</x:v>
      </x:c>
      <x:c r="C32" s="15" t="str">
        <x:v>xAI</x:v>
      </x:c>
      <x:c r="D32" s="15" t="str">
        <x:v>按次计费</x:v>
      </x:c>
      <x:c r="E32" s="15" t="str">
        <x:v>grok</x:v>
      </x:c>
      <x:c r="F32" s="15" t="str">
        <x:v>grok 1x</x:v>
      </x:c>
      <x:c r="G32" s="16" t="str">
        <x:v>$0.02/请求</x:v>
      </x:c>
      <x:c r="H32" s="16" t="str">
        <x:v>grok: 标准: $0.02/请求</x:v>
      </x:c>
      <x:c r="I32" s="24" t="n">
        <x:f>COUNTIF('价格明细'!$B$6:$B$200,B32)</x:f>
        <x:v>1</x:v>
      </x:c>
      <x:c r="J32" s="16" t="str">
        <x:v>openai, openai-response, openai-response-compact, anthropic, gemini, openai-alpha-search, openai-video</x:v>
      </x:c>
      <x:c r="K32" s="16" t="str"/>
      <x:c r="L32" s="16" t="str">
        <x:v>https://platform.frimodel.com/pricing</x:v>
      </x:c>
      <x:c r="M32" s="16" t="str">
        <x:v>2026-08-10</x:v>
      </x:c>
    </x:row>
    <x:row r="33" ht="42" customHeight="1">
      <x:c r="A33" s="23" t="n">
        <x:v>27</x:v>
      </x:c>
      <x:c r="B33" s="15" t="str">
        <x:v>grok-imagine-image-quality</x:v>
      </x:c>
      <x:c r="C33" s="15" t="str">
        <x:v>xAI</x:v>
      </x:c>
      <x:c r="D33" s="15" t="str">
        <x:v>按次计费</x:v>
      </x:c>
      <x:c r="E33" s="15" t="str">
        <x:v>grok</x:v>
      </x:c>
      <x:c r="F33" s="15" t="str">
        <x:v>grok 1x</x:v>
      </x:c>
      <x:c r="G33" s="16" t="str">
        <x:v>$0.05/请求</x:v>
      </x:c>
      <x:c r="H33" s="16" t="str">
        <x:v>grok: 标准: $0.05/请求</x:v>
      </x:c>
      <x:c r="I33" s="24" t="n">
        <x:f>COUNTIF('价格明细'!$B$6:$B$200,B33)</x:f>
        <x:v>1</x:v>
      </x:c>
      <x:c r="J33" s="16" t="str">
        <x:v>openai, openai-response, openai-response-compact, anthropic, gemini, openai-alpha-search, openai-video</x:v>
      </x:c>
      <x:c r="K33" s="16" t="str"/>
      <x:c r="L33" s="16" t="str">
        <x:v>https://platform.frimodel.com/pricing</x:v>
      </x:c>
      <x:c r="M33" s="16" t="str">
        <x:v>2026-08-10</x:v>
      </x:c>
    </x:row>
    <x:row r="34" ht="42" customHeight="1">
      <x:c r="A34" s="23" t="n">
        <x:v>28</x:v>
      </x:c>
      <x:c r="B34" s="15" t="str">
        <x:v>grok-imagine-video</x:v>
      </x:c>
      <x:c r="C34" s="15" t="str">
        <x:v>xAI</x:v>
      </x:c>
      <x:c r="D34" s="15" t="str">
        <x:v>按量计费</x:v>
      </x:c>
      <x:c r="E34" s="15" t="str">
        <x:v>grok</x:v>
      </x:c>
      <x:c r="F34" s="15" t="str">
        <x:v>grok 1x</x:v>
      </x:c>
      <x:c r="G34" s="16" t="str">
        <x:v>输入 $75；输出 $75（每 1M tokens）</x:v>
      </x:c>
      <x:c r="H34" s="16" t="str">
        <x:v>grok: 标准: 输入 $75；输出 $75</x:v>
      </x:c>
      <x:c r="I34" s="24" t="n">
        <x:f>COUNTIF('价格明细'!$B$6:$B$200,B34)</x:f>
        <x:v>1</x:v>
      </x:c>
      <x:c r="J34" s="16" t="str">
        <x:v>openai, openai-response, openai-response-compact, anthropic, gemini, openai-alpha-search, openai-video</x:v>
      </x:c>
      <x:c r="K34" s="16" t="str"/>
      <x:c r="L34" s="16" t="str">
        <x:v>https://platform.frimodel.com/pricing</x:v>
      </x:c>
      <x:c r="M34" s="16" t="str">
        <x:v>2026-08-10</x:v>
      </x:c>
    </x:row>
    <x:row r="35" ht="42" customHeight="1">
      <x:c r="A35" s="23" t="n">
        <x:v>29</x:v>
      </x:c>
      <x:c r="B35" s="15" t="str">
        <x:v>grok-imagine-video-1.5-preview</x:v>
      </x:c>
      <x:c r="C35" s="15" t="str">
        <x:v>xAI</x:v>
      </x:c>
      <x:c r="D35" s="15" t="str">
        <x:v>按次计费</x:v>
      </x:c>
      <x:c r="E35" s="15" t="str">
        <x:v>grok</x:v>
      </x:c>
      <x:c r="F35" s="15" t="str">
        <x:v>grok 1x</x:v>
      </x:c>
      <x:c r="G35" s="16" t="str">
        <x:v>$0.7/请求</x:v>
      </x:c>
      <x:c r="H35" s="16" t="str">
        <x:v>grok: 标准: $0.7/请求</x:v>
      </x:c>
      <x:c r="I35" s="24" t="n">
        <x:f>COUNTIF('价格明细'!$B$6:$B$200,B35)</x:f>
        <x:v>1</x:v>
      </x:c>
      <x:c r="J35" s="16" t="str">
        <x:v>openai, openai-response, openai-response-compact, anthropic, gemini, openai-alpha-search, openai-video</x:v>
      </x:c>
      <x:c r="K35" s="16" t="str"/>
      <x:c r="L35" s="16" t="str">
        <x:v>https://platform.frimodel.com/pricing</x:v>
      </x:c>
      <x:c r="M35" s="16" t="str">
        <x:v>2026-08-10</x:v>
      </x:c>
    </x:row>
    <x:row r="36" ht="42" customHeight="1">
      <x:c r="A36" s="23" t="n">
        <x:v>30</x:v>
      </x:c>
      <x:c r="B36" s="15" t="str">
        <x:v>Kling 3.0</x:v>
      </x:c>
      <x:c r="C36" s="15" t="str">
        <x:v>快手</x:v>
      </x:c>
      <x:c r="D36" s="15" t="str">
        <x:v>动态计费</x:v>
      </x:c>
      <x:c r="E36" s="15" t="str">
        <x:v>Kling</x:v>
      </x:c>
      <x:c r="F36" s="15" t="str">
        <x:v>Kling 1x</x:v>
      </x:c>
      <x:c r="G36" s="16" t="str">
        <x:v>$3/秒</x:v>
      </x:c>
      <x:c r="H36" s="16" t="str">
        <x:v>Kling: 4k: $3/秒 | pro-sound: $1.2/秒 | pro: $0.8/秒 | std-sound: $0.9/秒 | std: $0.6/秒</x:v>
      </x:c>
      <x:c r="I36" s="24" t="n">
        <x:f>COUNTIF('价格明细'!$B$6:$B$200,B36)</x:f>
        <x:v>5</x:v>
      </x:c>
      <x:c r="J36" s="16" t="str">
        <x:v>openai</x:v>
      </x:c>
      <x:c r="K36" s="16" t="str"/>
      <x:c r="L36" s="16" t="str">
        <x:v>https://platform.frimodel.com/pricing</x:v>
      </x:c>
      <x:c r="M36" s="16" t="str">
        <x:v>2026-08-10</x:v>
      </x:c>
    </x:row>
    <x:row r="37" ht="42" customHeight="1">
      <x:c r="A37" s="23" t="n">
        <x:v>31</x:v>
      </x:c>
      <x:c r="B37" s="15" t="str">
        <x:v>Kling 3.0 Omni</x:v>
      </x:c>
      <x:c r="C37" s="15" t="str">
        <x:v>快手</x:v>
      </x:c>
      <x:c r="D37" s="15" t="str">
        <x:v>动态计费</x:v>
      </x:c>
      <x:c r="E37" s="15" t="str">
        <x:v>Kling</x:v>
      </x:c>
      <x:c r="F37" s="15" t="str">
        <x:v>Kling 1x</x:v>
      </x:c>
      <x:c r="G37" s="16" t="str">
        <x:v>$3/秒</x:v>
      </x:c>
      <x:c r="H37" s="16" t="str">
        <x:v>Kling: 4k: $3/秒 | pro-reference: $1.2/秒 | pro-sound: $1/秒 | pro: $0.8/秒 | std-reference: $0.9/秒 | std-sound: $0.8/秒 | std: $0.6/秒</x:v>
      </x:c>
      <x:c r="I37" s="24" t="n">
        <x:f>COUNTIF('价格明细'!$B$6:$B$200,B37)</x:f>
        <x:v>7</x:v>
      </x:c>
      <x:c r="J37" s="16" t="str">
        <x:v>openai</x:v>
      </x:c>
      <x:c r="K37" s="16" t="str"/>
      <x:c r="L37" s="16" t="str">
        <x:v>https://platform.frimodel.com/pricing</x:v>
      </x:c>
      <x:c r="M37" s="16" t="str">
        <x:v>2026-08-10</x:v>
      </x:c>
    </x:row>
    <x:row r="38" ht="42" customHeight="1">
      <x:c r="A38" s="23" t="n">
        <x:v>32</x:v>
      </x:c>
      <x:c r="B38" s="15" t="str">
        <x:v>Kling 3.0 Turbo</x:v>
      </x:c>
      <x:c r="C38" s="15" t="str">
        <x:v>快手</x:v>
      </x:c>
      <x:c r="D38" s="15" t="str">
        <x:v>动态计费</x:v>
      </x:c>
      <x:c r="E38" s="15" t="str">
        <x:v>Kling</x:v>
      </x:c>
      <x:c r="F38" s="15" t="str">
        <x:v>Kling 1x</x:v>
      </x:c>
      <x:c r="G38" s="16" t="str">
        <x:v>$1/秒</x:v>
      </x:c>
      <x:c r="H38" s="16" t="str">
        <x:v>Kling: 1080p: $1/秒 | 720p: $0.8/秒</x:v>
      </x:c>
      <x:c r="I38" s="24" t="n">
        <x:f>COUNTIF('价格明细'!$B$6:$B$200,B38)</x:f>
        <x:v>2</x:v>
      </x:c>
      <x:c r="J38" s="16" t="str">
        <x:v>openai</x:v>
      </x:c>
      <x:c r="K38" s="16" t="str"/>
      <x:c r="L38" s="16" t="str">
        <x:v>https://platform.frimodel.com/pricing</x:v>
      </x:c>
      <x:c r="M38" s="16" t="str">
        <x:v>2026-08-10</x:v>
      </x:c>
    </x:row>
    <x:row r="39" ht="42" customHeight="1">
      <x:c r="A39" s="23" t="n">
        <x:v>33</x:v>
      </x:c>
      <x:c r="B39" s="15" t="str">
        <x:v>seedance-2.5</x:v>
      </x:c>
      <x:c r="C39" s="15" t="str">
        <x:v>页面未标注</x:v>
      </x:c>
      <x:c r="D39" s="15" t="str">
        <x:v>动态计费</x:v>
      </x:c>
      <x:c r="E39" s="15" t="str">
        <x:v>Seedance2.0</x:v>
      </x:c>
      <x:c r="F39" s="15" t="str">
        <x:v>Seedance2.0 1x</x:v>
      </x:c>
      <x:c r="G39" s="16" t="str">
        <x:v>$0.28/秒</x:v>
      </x:c>
      <x:c r="H39" s="16" t="str">
        <x:v>Seedance2.0: 480p: $0.28/秒 | 720p: $0.4/秒</x:v>
      </x:c>
      <x:c r="I39" s="24" t="n">
        <x:f>COUNTIF('价格明细'!$B$6:$B$200,B39)</x:f>
        <x:v>2</x:v>
      </x:c>
      <x:c r="J39" s="16" t="str">
        <x:v>openai, openai-response, openai-response-compact, anthropic, gemini, openai-alpha-search</x:v>
      </x:c>
      <x:c r="K39" s="16" t="str"/>
      <x:c r="L39" s="16" t="str">
        <x:v>https://platform.frimodel.com/pricing</x:v>
      </x:c>
      <x:c r="M39" s="16" t="str">
        <x:v>2026-08-10</x:v>
      </x:c>
    </x:row>
    <x:row r="40" ht="42" customHeight="1">
      <x:c r="A40" s="23" t="n">
        <x:v>34</x:v>
      </x:c>
      <x:c r="B40" s="15" t="str">
        <x:v>seedance2.0</x:v>
      </x:c>
      <x:c r="C40" s="15" t="str">
        <x:v>页面未标注</x:v>
      </x:c>
      <x:c r="D40" s="15" t="str">
        <x:v>动态计费</x:v>
      </x:c>
      <x:c r="E40" s="15" t="str">
        <x:v>Seedance2.0</x:v>
      </x:c>
      <x:c r="F40" s="15" t="str">
        <x:v>Seedance2.0 1x</x:v>
      </x:c>
      <x:c r="G40" s="16" t="str">
        <x:v>$3.5/请求</x:v>
      </x:c>
      <x:c r="H40" s="16" t="str">
        <x:v>Seedance2.0: per_request: $3.5/请求</x:v>
      </x:c>
      <x:c r="I40" s="24" t="n">
        <x:f>COUNTIF('价格明细'!$B$6:$B$200,B40)</x:f>
        <x:v>1</x:v>
      </x:c>
      <x:c r="J40" s="16" t="str">
        <x:v>openai-video</x:v>
      </x:c>
      <x:c r="K40" s="16" t="str"/>
      <x:c r="L40" s="16" t="str">
        <x:v>https://platform.frimodel.com/pricing</x:v>
      </x:c>
      <x:c r="M40" s="16" t="str">
        <x:v>2026-08-10</x:v>
      </x:c>
    </x:row>
    <x:row r="41" ht="42" customHeight="1">
      <x:c r="A41" s="23" t="n">
        <x:v>35</x:v>
      </x:c>
      <x:c r="B41" s="15" t="str">
        <x:v>tvideos</x:v>
      </x:c>
      <x:c r="C41" s="15" t="str">
        <x:v>页面未标注</x:v>
      </x:c>
      <x:c r="D41" s="15" t="str">
        <x:v>动态计费</x:v>
      </x:c>
      <x:c r="E41" s="15" t="str">
        <x:v>Seedance2.0</x:v>
      </x:c>
      <x:c r="F41" s="15" t="str">
        <x:v>Seedance2.0 1x</x:v>
      </x:c>
      <x:c r="G41" s="16" t="str">
        <x:v>$5.5/请求</x:v>
      </x:c>
      <x:c r="H41" s="16" t="str">
        <x:v>Seedance2.0: 480p: $5.5/请求 | 720p: $8/请求 | 1080p: $1/秒 | 4k: $2/秒</x:v>
      </x:c>
      <x:c r="I41" s="24" t="n">
        <x:f>COUNTIF('价格明细'!$B$6:$B$200,B41)</x:f>
        <x:v>4</x:v>
      </x:c>
      <x:c r="J41" s="16" t="str">
        <x:v>openai, openai-response, openai-response-compact, anthropic, gemini, openai-alpha-search</x:v>
      </x:c>
      <x:c r="K41" s="16" t="str"/>
      <x:c r="L41" s="16" t="str">
        <x:v>https://platform.frimodel.com/pricing</x:v>
      </x:c>
      <x:c r="M41" s="16" t="str">
        <x:v>2026-08-10</x:v>
      </x:c>
    </x:row>
    <x:row r="42" ht="42" customHeight="1">
      <x:c r="A42" s="23" t="n">
        <x:v>36</x:v>
      </x:c>
      <x:c r="B42" s="15" t="str">
        <x:v>tvideos-mini</x:v>
      </x:c>
      <x:c r="C42" s="15" t="str">
        <x:v>页面未标注</x:v>
      </x:c>
      <x:c r="D42" s="15" t="str">
        <x:v>动态计费</x:v>
      </x:c>
      <x:c r="E42" s="15" t="str">
        <x:v>Seedance2.0</x:v>
      </x:c>
      <x:c r="F42" s="15" t="str">
        <x:v>Seedance2.0 1x</x:v>
      </x:c>
      <x:c r="G42" s="16" t="str">
        <x:v>$2.5/请求</x:v>
      </x:c>
      <x:c r="H42" s="16" t="str">
        <x:v>Seedance2.0: 480p: $2.5/请求 | 720p: $5/请求</x:v>
      </x:c>
      <x:c r="I42" s="24" t="n">
        <x:f>COUNTIF('价格明细'!$B$6:$B$200,B42)</x:f>
        <x:v>2</x:v>
      </x:c>
      <x:c r="J42" s="16" t="str">
        <x:v>openai, openai-response, openai-response-compact, anthropic, gemini, openai-alpha-search</x:v>
      </x:c>
      <x:c r="K42" s="16" t="str"/>
      <x:c r="L42" s="16" t="str">
        <x:v>https://platform.frimodel.com/pricing</x:v>
      </x:c>
      <x:c r="M42" s="16" t="str">
        <x:v>2026-08-10</x:v>
      </x:c>
    </x:row>
    <x:row r="43" ht="42" customHeight="1">
      <x:c r="A43" s="23" t="n">
        <x:v>37</x:v>
      </x:c>
      <x:c r="B43" s="15" t="str">
        <x:v>videos-4</x:v>
      </x:c>
      <x:c r="C43" s="15" t="str">
        <x:v>Doubao</x:v>
      </x:c>
      <x:c r="D43" s="15" t="str">
        <x:v>动态计费</x:v>
      </x:c>
      <x:c r="E43" s="15" t="str">
        <x:v>Seedance2.0</x:v>
      </x:c>
      <x:c r="F43" s="15" t="str">
        <x:v>Seedance2.0 1x</x:v>
      </x:c>
      <x:c r="G43" s="16" t="str">
        <x:v>$0.35/秒</x:v>
      </x:c>
      <x:c r="H43" s="16" t="str">
        <x:v>Seedance2.0: 480p: $0.35/秒 | 720p: $0.5/秒</x:v>
      </x:c>
      <x:c r="I43" s="24" t="n">
        <x:f>COUNTIF('价格明细'!$B$6:$B$200,B43)</x:f>
        <x:v>2</x:v>
      </x:c>
      <x:c r="J43" s="16" t="str">
        <x:v>openai, openai-response, openai-response-compact, anthropic, gemini, openai-alpha-search, openai-video</x:v>
      </x:c>
      <x:c r="K43" s="16" t="str"/>
      <x:c r="L43" s="16" t="str">
        <x:v>https://platform.frimodel.com/pricing</x:v>
      </x:c>
      <x:c r="M43" s="16" t="str">
        <x:v>2026-08-10</x:v>
      </x:c>
    </x:row>
    <x:row r="44" ht="42" customHeight="1">
      <x:c r="A44" s="23" t="n">
        <x:v>38</x:v>
      </x:c>
      <x:c r="B44" s="15" t="str">
        <x:v>videos-4-fast</x:v>
      </x:c>
      <x:c r="C44" s="15" t="str">
        <x:v>Doubao</x:v>
      </x:c>
      <x:c r="D44" s="15" t="str">
        <x:v>动态计费</x:v>
      </x:c>
      <x:c r="E44" s="15" t="str">
        <x:v>Seedance2.0</x:v>
      </x:c>
      <x:c r="F44" s="15" t="str">
        <x:v>Seedance2.0 1x</x:v>
      </x:c>
      <x:c r="G44" s="16" t="str">
        <x:v>$0.2/秒</x:v>
      </x:c>
      <x:c r="H44" s="16" t="str">
        <x:v>Seedance2.0: 480p: $0.2/秒 | 720p: $0.35/秒</x:v>
      </x:c>
      <x:c r="I44" s="24" t="n">
        <x:f>COUNTIF('价格明细'!$B$6:$B$200,B44)</x:f>
        <x:v>2</x:v>
      </x:c>
      <x:c r="J44" s="16" t="str">
        <x:v>openai, openai-response, openai-response-compact, anthropic, gemini, openai-alpha-search, openai-video</x:v>
      </x:c>
      <x:c r="K44" s="16" t="str"/>
      <x:c r="L44" s="16" t="str">
        <x:v>https://platform.frimodel.com/pricing</x:v>
      </x:c>
      <x:c r="M44" s="16" t="str">
        <x:v>2026-08-10</x:v>
      </x:c>
    </x:row>
    <x:row r="45" ht="42" customHeight="1">
      <x:c r="A45" s="23" t="n">
        <x:v>39</x:v>
      </x:c>
      <x:c r="B45" s="15" t="str">
        <x:v>videos-4-mini</x:v>
      </x:c>
      <x:c r="C45" s="15" t="str">
        <x:v>Doubao</x:v>
      </x:c>
      <x:c r="D45" s="15" t="str">
        <x:v>动态计费</x:v>
      </x:c>
      <x:c r="E45" s="15" t="str">
        <x:v>Seedance2.0</x:v>
      </x:c>
      <x:c r="F45" s="15" t="str">
        <x:v>Seedance2.0 1x</x:v>
      </x:c>
      <x:c r="G45" s="16" t="str">
        <x:v>$0.15/秒</x:v>
      </x:c>
      <x:c r="H45" s="16" t="str">
        <x:v>Seedance2.0: 480p: $0.15/秒 | 720p: $0.25/秒</x:v>
      </x:c>
      <x:c r="I45" s="24" t="n">
        <x:f>COUNTIF('价格明细'!$B$6:$B$200,B45)</x:f>
        <x:v>2</x:v>
      </x:c>
      <x:c r="J45" s="16" t="str">
        <x:v>openai, openai-response, openai-response-compact, anthropic, gemini, openai-alpha-search, openai-video</x:v>
      </x:c>
      <x:c r="K45" s="16" t="str"/>
      <x:c r="L45" s="16" t="str">
        <x:v>https://platform.frimodel.com/pricing</x:v>
      </x:c>
      <x:c r="M45" s="16" t="str">
        <x:v>2026-08-10</x:v>
      </x:c>
    </x:row>
  </x:sheetData>
  <x:mergeCells>
    <x:mergeCell ref="A1:M1"/>
    <x:mergeCell ref="A2:M2"/>
  </x:mergeCells>
  <x:conditionalFormatting sqref="D7:D45">
    <x:cfRule type="containsText" dxfId="0" priority="1" operator="containsText" text="动态计费"/>
  </x:conditionalFormatting>
  <x:pageMargins left="0.7" right="0.7" top="0.75" bottom="0.75" header="0.3" footer="0.3"/>
  <x:tableParts count="1">
    <x:tablePart xmlns:r="http://schemas.openxmlformats.org/officeDocument/2006/relationships" r:id="Ra7cda62afe774d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14" hidden="0" customWidth="1"/>
    <x:col min="4" max="4" width="14" hidden="0" customWidth="1"/>
    <x:col min="5" max="5" width="23" hidden="0" customWidth="1"/>
    <x:col min="6" max="6" width="10" hidden="0" customWidth="1"/>
    <x:col min="7" max="7" width="20" hidden="0" customWidth="1"/>
    <x:col min="8" max="8" width="22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50" hidden="0" customWidth="1"/>
    <x:col min="17" max="17" width="55" hidden="0" customWidth="1"/>
    <x:col min="18" max="18" width="39" hidden="0" customWidth="1"/>
    <x:col min="19" max="19" width="13" hidden="0" customWidth="1"/>
  </x:cols>
  <x:sheetData>
    <x:row r="1" ht="34" customHeight="1">
      <x:c r="A1" s="3" t="str">
        <x:v>价格明细：每个分组、每个档位单独成行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数值列均为详情页中应用分组倍率后的价格；空白表示该模型/档位没有对应价格字段。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28" customHeight="1">
      <x:c r="A3" s="7" t="str">
        <x:v>注意：gpt-5.5-openai-compact 的上下文条件在页面上存在疑似冲突，已原样记录在“条件”和“备注”列。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</x:row>
    <x:row r="5">
      <x:c r="A5" s="15" t="str">
        <x:v>序号</x:v>
      </x:c>
      <x:c r="B5" s="15" t="str">
        <x:v>模型</x:v>
      </x:c>
      <x:c r="C5" s="15" t="str">
        <x:v>提供商</x:v>
      </x:c>
      <x:c r="D5" s="15" t="str">
        <x:v>计费类型</x:v>
      </x:c>
      <x:c r="E5" s="15" t="str">
        <x:v>分组</x:v>
      </x:c>
      <x:c r="F5" s="15" t="str">
        <x:v>倍率</x:v>
      </x:c>
      <x:c r="G5" s="15" t="str">
        <x:v>档位</x:v>
      </x:c>
      <x:c r="H5" s="15" t="str">
        <x:v>条件</x:v>
      </x:c>
      <x:c r="I5" s="15" t="str">
        <x:v>计价单位</x:v>
      </x:c>
      <x:c r="J5" s="15" t="str">
        <x:v>输入价</x:v>
      </x:c>
      <x:c r="K5" s="15" t="str">
        <x:v>输出价</x:v>
      </x:c>
      <x:c r="L5" s="15" t="str">
        <x:v>缓存读取/输入价</x:v>
      </x:c>
      <x:c r="M5" s="15" t="str">
        <x:v>缓存写入价</x:v>
      </x:c>
      <x:c r="N5" s="15" t="str">
        <x:v>单次请求价</x:v>
      </x:c>
      <x:c r="O5" s="15" t="str">
        <x:v>每秒价</x:v>
      </x:c>
      <x:c r="P5" s="15" t="str">
        <x:v>端点</x:v>
      </x:c>
      <x:c r="Q5" s="15" t="str">
        <x:v>备注</x:v>
      </x:c>
      <x:c r="R5" s="15" t="str">
        <x:v>来源</x:v>
      </x:c>
      <x:c r="S5" s="15" t="str">
        <x:v>采集日期</x:v>
      </x:c>
    </x:row>
    <x:row r="6" ht="30" customHeight="1">
      <x:c r="A6" s="23" t="n">
        <x:v>1</x:v>
      </x:c>
      <x:c r="B6" s="15" t="str">
        <x:v>claude-fable-5</x:v>
      </x:c>
      <x:c r="C6" s="15" t="str">
        <x:v>Anthropic</x:v>
      </x:c>
      <x:c r="D6" s="15" t="str">
        <x:v>按量计费</x:v>
      </x:c>
      <x:c r="E6" s="15" t="str">
        <x:v>claude_max</x:v>
      </x:c>
      <x:c r="F6" s="19" t="n">
        <x:v>1.4</x:v>
      </x:c>
      <x:c r="G6" s="20" t="str">
        <x:v>标准</x:v>
      </x:c>
      <x:c r="H6" s="21" t="str"/>
      <x:c r="I6" s="21" t="str">
        <x:v>USD / 1M tokens</x:v>
      </x:c>
      <x:c r="J6" s="22" t="n">
        <x:v>14</x:v>
      </x:c>
      <x:c r="K6" s="22" t="n">
        <x:v>70</x:v>
      </x:c>
      <x:c r="L6" s="22" t="n">
        <x:v>1.4</x:v>
      </x:c>
      <x:c r="M6" s="22" t="n">
        <x:v>17.5</x:v>
      </x:c>
      <x:c r="N6" s="22"/>
      <x:c r="O6" s="22"/>
      <x:c r="P6" s="16" t="str">
        <x:v>anthropic, openai</x:v>
      </x:c>
      <x:c r="Q6" s="16" t="str"/>
      <x:c r="R6" s="16" t="str">
        <x:v>https://platform.frimodel.com/pricing</x:v>
      </x:c>
      <x:c r="S6" s="16" t="str">
        <x:v>2026-08-10</x:v>
      </x:c>
    </x:row>
    <x:row r="7" ht="30" customHeight="1">
      <x:c r="A7" s="23" t="n">
        <x:v>2</x:v>
      </x:c>
      <x:c r="B7" s="15" t="str">
        <x:v>claude-fable-5</x:v>
      </x:c>
      <x:c r="C7" s="15" t="str">
        <x:v>Anthropic</x:v>
      </x:c>
      <x:c r="D7" s="15" t="str">
        <x:v>按量计费</x:v>
      </x:c>
      <x:c r="E7" s="15" t="str">
        <x:v>claude_max_外接</x:v>
      </x:c>
      <x:c r="F7" s="19" t="n">
        <x:v>1.4</x:v>
      </x:c>
      <x:c r="G7" s="20" t="str">
        <x:v>标准</x:v>
      </x:c>
      <x:c r="H7" s="21" t="str"/>
      <x:c r="I7" s="21" t="str">
        <x:v>USD / 1M tokens</x:v>
      </x:c>
      <x:c r="J7" s="22" t="n">
        <x:v>14</x:v>
      </x:c>
      <x:c r="K7" s="22" t="n">
        <x:v>70</x:v>
      </x:c>
      <x:c r="L7" s="22" t="n">
        <x:v>1.4</x:v>
      </x:c>
      <x:c r="M7" s="22" t="n">
        <x:v>17.5</x:v>
      </x:c>
      <x:c r="N7" s="22"/>
      <x:c r="O7" s="22"/>
      <x:c r="P7" s="16" t="str">
        <x:v>anthropic, openai</x:v>
      </x:c>
      <x:c r="Q7" s="16" t="str"/>
      <x:c r="R7" s="16" t="str">
        <x:v>https://platform.frimodel.com/pricing</x:v>
      </x:c>
      <x:c r="S7" s="16" t="str">
        <x:v>2026-08-10</x:v>
      </x:c>
    </x:row>
    <x:row r="8" ht="30" customHeight="1">
      <x:c r="A8" s="23" t="n">
        <x:v>3</x:v>
      </x:c>
      <x:c r="B8" s="15" t="str">
        <x:v>claude-opus-4-6</x:v>
      </x:c>
      <x:c r="C8" s="15" t="str">
        <x:v>Anthropic</x:v>
      </x:c>
      <x:c r="D8" s="15" t="str">
        <x:v>按量计费</x:v>
      </x:c>
      <x:c r="E8" s="15" t="str">
        <x:v>claude_max</x:v>
      </x:c>
      <x:c r="F8" s="19" t="n">
        <x:v>1.4</x:v>
      </x:c>
      <x:c r="G8" s="20" t="str">
        <x:v>标准</x:v>
      </x:c>
      <x:c r="H8" s="21" t="str"/>
      <x:c r="I8" s="21" t="str">
        <x:v>USD / 1M tokens</x:v>
      </x:c>
      <x:c r="J8" s="22" t="n">
        <x:v>7</x:v>
      </x:c>
      <x:c r="K8" s="22" t="n">
        <x:v>35</x:v>
      </x:c>
      <x:c r="L8" s="22" t="n">
        <x:v>0.7</x:v>
      </x:c>
      <x:c r="M8" s="22" t="n">
        <x:v>8.75</x:v>
      </x:c>
      <x:c r="N8" s="22"/>
      <x:c r="O8" s="22"/>
      <x:c r="P8" s="16" t="str">
        <x:v>anthropic, openai</x:v>
      </x:c>
      <x:c r="Q8" s="16" t="str"/>
      <x:c r="R8" s="16" t="str">
        <x:v>https://platform.frimodel.com/pricing</x:v>
      </x:c>
      <x:c r="S8" s="16" t="str">
        <x:v>2026-08-10</x:v>
      </x:c>
    </x:row>
    <x:row r="9" ht="30" customHeight="1">
      <x:c r="A9" s="23" t="n">
        <x:v>4</x:v>
      </x:c>
      <x:c r="B9" s="15" t="str">
        <x:v>claude-opus-4-6</x:v>
      </x:c>
      <x:c r="C9" s="15" t="str">
        <x:v>Anthropic</x:v>
      </x:c>
      <x:c r="D9" s="15" t="str">
        <x:v>按量计费</x:v>
      </x:c>
      <x:c r="E9" s="15" t="str">
        <x:v>claude_max_外接</x:v>
      </x:c>
      <x:c r="F9" s="19" t="n">
        <x:v>1.4</x:v>
      </x:c>
      <x:c r="G9" s="20" t="str">
        <x:v>标准</x:v>
      </x:c>
      <x:c r="H9" s="21" t="str"/>
      <x:c r="I9" s="21" t="str">
        <x:v>USD / 1M tokens</x:v>
      </x:c>
      <x:c r="J9" s="22" t="n">
        <x:v>7</x:v>
      </x:c>
      <x:c r="K9" s="22" t="n">
        <x:v>35</x:v>
      </x:c>
      <x:c r="L9" s="22" t="n">
        <x:v>0.7</x:v>
      </x:c>
      <x:c r="M9" s="22" t="n">
        <x:v>8.75</x:v>
      </x:c>
      <x:c r="N9" s="22"/>
      <x:c r="O9" s="22"/>
      <x:c r="P9" s="16" t="str">
        <x:v>anthropic, openai</x:v>
      </x:c>
      <x:c r="Q9" s="16" t="str"/>
      <x:c r="R9" s="16" t="str">
        <x:v>https://platform.frimodel.com/pricing</x:v>
      </x:c>
      <x:c r="S9" s="16" t="str">
        <x:v>2026-08-10</x:v>
      </x:c>
    </x:row>
    <x:row r="10" ht="30" customHeight="1">
      <x:c r="A10" s="23" t="n">
        <x:v>5</x:v>
      </x:c>
      <x:c r="B10" s="15" t="str">
        <x:v>claude-opus-4-7</x:v>
      </x:c>
      <x:c r="C10" s="15" t="str">
        <x:v>Anthropic</x:v>
      </x:c>
      <x:c r="D10" s="15" t="str">
        <x:v>按量计费</x:v>
      </x:c>
      <x:c r="E10" s="15" t="str">
        <x:v>claude_max</x:v>
      </x:c>
      <x:c r="F10" s="19" t="n">
        <x:v>1.4</x:v>
      </x:c>
      <x:c r="G10" s="20" t="str">
        <x:v>标准</x:v>
      </x:c>
      <x:c r="H10" s="21" t="str"/>
      <x:c r="I10" s="21" t="str">
        <x:v>USD / 1M tokens</x:v>
      </x:c>
      <x:c r="J10" s="22" t="n">
        <x:v>7</x:v>
      </x:c>
      <x:c r="K10" s="22" t="n">
        <x:v>35</x:v>
      </x:c>
      <x:c r="L10" s="22" t="n">
        <x:v>0.7</x:v>
      </x:c>
      <x:c r="M10" s="22" t="n">
        <x:v>8.75</x:v>
      </x:c>
      <x:c r="N10" s="22"/>
      <x:c r="O10" s="22"/>
      <x:c r="P10" s="16" t="str">
        <x:v>anthropic, openai</x:v>
      </x:c>
      <x:c r="Q10" s="16" t="str"/>
      <x:c r="R10" s="16" t="str">
        <x:v>https://platform.frimodel.com/pricing</x:v>
      </x:c>
      <x:c r="S10" s="16" t="str">
        <x:v>2026-08-10</x:v>
      </x:c>
    </x:row>
    <x:row r="11" ht="30" customHeight="1">
      <x:c r="A11" s="23" t="n">
        <x:v>6</x:v>
      </x:c>
      <x:c r="B11" s="15" t="str">
        <x:v>claude-opus-4-7</x:v>
      </x:c>
      <x:c r="C11" s="15" t="str">
        <x:v>Anthropic</x:v>
      </x:c>
      <x:c r="D11" s="15" t="str">
        <x:v>按量计费</x:v>
      </x:c>
      <x:c r="E11" s="15" t="str">
        <x:v>claude_max_外接</x:v>
      </x:c>
      <x:c r="F11" s="19" t="n">
        <x:v>1.4</x:v>
      </x:c>
      <x:c r="G11" s="20" t="str">
        <x:v>标准</x:v>
      </x:c>
      <x:c r="H11" s="21" t="str"/>
      <x:c r="I11" s="21" t="str">
        <x:v>USD / 1M tokens</x:v>
      </x:c>
      <x:c r="J11" s="22" t="n">
        <x:v>7</x:v>
      </x:c>
      <x:c r="K11" s="22" t="n">
        <x:v>35</x:v>
      </x:c>
      <x:c r="L11" s="22" t="n">
        <x:v>0.7</x:v>
      </x:c>
      <x:c r="M11" s="22" t="n">
        <x:v>8.75</x:v>
      </x:c>
      <x:c r="N11" s="22"/>
      <x:c r="O11" s="22"/>
      <x:c r="P11" s="16" t="str">
        <x:v>anthropic, openai</x:v>
      </x:c>
      <x:c r="Q11" s="16" t="str"/>
      <x:c r="R11" s="16" t="str">
        <x:v>https://platform.frimodel.com/pricing</x:v>
      </x:c>
      <x:c r="S11" s="16" t="str">
        <x:v>2026-08-10</x:v>
      </x:c>
    </x:row>
    <x:row r="12" ht="30" customHeight="1">
      <x:c r="A12" s="23" t="n">
        <x:v>7</x:v>
      </x:c>
      <x:c r="B12" s="15" t="str">
        <x:v>claude-opus-4-8</x:v>
      </x:c>
      <x:c r="C12" s="15" t="str">
        <x:v>Anthropic</x:v>
      </x:c>
      <x:c r="D12" s="15" t="str">
        <x:v>按量计费</x:v>
      </x:c>
      <x:c r="E12" s="15" t="str">
        <x:v>claude_max</x:v>
      </x:c>
      <x:c r="F12" s="19" t="n">
        <x:v>1.4</x:v>
      </x:c>
      <x:c r="G12" s="20" t="str">
        <x:v>标准</x:v>
      </x:c>
      <x:c r="H12" s="21" t="str"/>
      <x:c r="I12" s="21" t="str">
        <x:v>USD / 1M tokens</x:v>
      </x:c>
      <x:c r="J12" s="22" t="n">
        <x:v>7</x:v>
      </x:c>
      <x:c r="K12" s="22" t="n">
        <x:v>35</x:v>
      </x:c>
      <x:c r="L12" s="22" t="n">
        <x:v>0.7</x:v>
      </x:c>
      <x:c r="M12" s="22" t="n">
        <x:v>8.75</x:v>
      </x:c>
      <x:c r="N12" s="22"/>
      <x:c r="O12" s="22"/>
      <x:c r="P12" s="16" t="str">
        <x:v>anthropic, openai</x:v>
      </x:c>
      <x:c r="Q12" s="16" t="str"/>
      <x:c r="R12" s="16" t="str">
        <x:v>https://platform.frimodel.com/pricing</x:v>
      </x:c>
      <x:c r="S12" s="16" t="str">
        <x:v>2026-08-10</x:v>
      </x:c>
    </x:row>
    <x:row r="13" ht="30" customHeight="1">
      <x:c r="A13" s="23" t="n">
        <x:v>8</x:v>
      </x:c>
      <x:c r="B13" s="15" t="str">
        <x:v>claude-opus-4-8</x:v>
      </x:c>
      <x:c r="C13" s="15" t="str">
        <x:v>Anthropic</x:v>
      </x:c>
      <x:c r="D13" s="15" t="str">
        <x:v>按量计费</x:v>
      </x:c>
      <x:c r="E13" s="15" t="str">
        <x:v>claude_max_外接</x:v>
      </x:c>
      <x:c r="F13" s="19" t="n">
        <x:v>1.4</x:v>
      </x:c>
      <x:c r="G13" s="20" t="str">
        <x:v>标准</x:v>
      </x:c>
      <x:c r="H13" s="21" t="str"/>
      <x:c r="I13" s="21" t="str">
        <x:v>USD / 1M tokens</x:v>
      </x:c>
      <x:c r="J13" s="22" t="n">
        <x:v>7</x:v>
      </x:c>
      <x:c r="K13" s="22" t="n">
        <x:v>35</x:v>
      </x:c>
      <x:c r="L13" s="22" t="n">
        <x:v>0.7</x:v>
      </x:c>
      <x:c r="M13" s="22" t="n">
        <x:v>8.75</x:v>
      </x:c>
      <x:c r="N13" s="22"/>
      <x:c r="O13" s="22"/>
      <x:c r="P13" s="16" t="str">
        <x:v>anthropic, openai</x:v>
      </x:c>
      <x:c r="Q13" s="16" t="str"/>
      <x:c r="R13" s="16" t="str">
        <x:v>https://platform.frimodel.com/pricing</x:v>
      </x:c>
      <x:c r="S13" s="16" t="str">
        <x:v>2026-08-10</x:v>
      </x:c>
    </x:row>
    <x:row r="14" ht="30" customHeight="1">
      <x:c r="A14" s="23" t="n">
        <x:v>9</x:v>
      </x:c>
      <x:c r="B14" s="15" t="str">
        <x:v>claude-opus-5</x:v>
      </x:c>
      <x:c r="C14" s="15" t="str">
        <x:v>Anthropic</x:v>
      </x:c>
      <x:c r="D14" s="15" t="str">
        <x:v>按量计费</x:v>
      </x:c>
      <x:c r="E14" s="15" t="str">
        <x:v>claude_max</x:v>
      </x:c>
      <x:c r="F14" s="19" t="n">
        <x:v>1.4</x:v>
      </x:c>
      <x:c r="G14" s="20" t="str">
        <x:v>标准</x:v>
      </x:c>
      <x:c r="H14" s="21" t="str"/>
      <x:c r="I14" s="21" t="str">
        <x:v>USD / 1M tokens</x:v>
      </x:c>
      <x:c r="J14" s="22" t="n">
        <x:v>7</x:v>
      </x:c>
      <x:c r="K14" s="22" t="n">
        <x:v>35</x:v>
      </x:c>
      <x:c r="L14" s="22" t="n">
        <x:v>0.7</x:v>
      </x:c>
      <x:c r="M14" s="22"/>
      <x:c r="N14" s="22"/>
      <x:c r="O14" s="22"/>
      <x:c r="P14" s="16" t="str">
        <x:v>anthropic, openai</x:v>
      </x:c>
      <x:c r="Q14" s="16" t="str"/>
      <x:c r="R14" s="16" t="str">
        <x:v>https://platform.frimodel.com/pricing</x:v>
      </x:c>
      <x:c r="S14" s="16" t="str">
        <x:v>2026-08-10</x:v>
      </x:c>
    </x:row>
    <x:row r="15" ht="30" customHeight="1">
      <x:c r="A15" s="23" t="n">
        <x:v>10</x:v>
      </x:c>
      <x:c r="B15" s="15" t="str">
        <x:v>claude-sonnet-4-6</x:v>
      </x:c>
      <x:c r="C15" s="15" t="str">
        <x:v>Anthropic</x:v>
      </x:c>
      <x:c r="D15" s="15" t="str">
        <x:v>按量计费</x:v>
      </x:c>
      <x:c r="E15" s="15" t="str">
        <x:v>claude_max</x:v>
      </x:c>
      <x:c r="F15" s="19" t="n">
        <x:v>1.4</x:v>
      </x:c>
      <x:c r="G15" s="20" t="str">
        <x:v>标准</x:v>
      </x:c>
      <x:c r="H15" s="21" t="str"/>
      <x:c r="I15" s="21" t="str">
        <x:v>USD / 1M tokens</x:v>
      </x:c>
      <x:c r="J15" s="22" t="n">
        <x:v>105</x:v>
      </x:c>
      <x:c r="K15" s="22" t="n">
        <x:v>525</x:v>
      </x:c>
      <x:c r="L15" s="22"/>
      <x:c r="M15" s="22" t="n">
        <x:v>131.25</x:v>
      </x:c>
      <x:c r="N15" s="22"/>
      <x:c r="O15" s="22"/>
      <x:c r="P15" s="16" t="str">
        <x:v>anthropic, openai</x:v>
      </x:c>
      <x:c r="Q15" s="16" t="str"/>
      <x:c r="R15" s="16" t="str">
        <x:v>https://platform.frimodel.com/pricing</x:v>
      </x:c>
      <x:c r="S15" s="16" t="str">
        <x:v>2026-08-10</x:v>
      </x:c>
    </x:row>
    <x:row r="16" ht="30" customHeight="1">
      <x:c r="A16" s="23" t="n">
        <x:v>11</x:v>
      </x:c>
      <x:c r="B16" s="15" t="str">
        <x:v>claude-sonnet-4-6</x:v>
      </x:c>
      <x:c r="C16" s="15" t="str">
        <x:v>Anthropic</x:v>
      </x:c>
      <x:c r="D16" s="15" t="str">
        <x:v>按量计费</x:v>
      </x:c>
      <x:c r="E16" s="15" t="str">
        <x:v>claude_max_外接</x:v>
      </x:c>
      <x:c r="F16" s="19" t="n">
        <x:v>1.4</x:v>
      </x:c>
      <x:c r="G16" s="20" t="str">
        <x:v>标准</x:v>
      </x:c>
      <x:c r="H16" s="21" t="str"/>
      <x:c r="I16" s="21" t="str">
        <x:v>USD / 1M tokens</x:v>
      </x:c>
      <x:c r="J16" s="22" t="n">
        <x:v>105</x:v>
      </x:c>
      <x:c r="K16" s="22" t="n">
        <x:v>525</x:v>
      </x:c>
      <x:c r="L16" s="22"/>
      <x:c r="M16" s="22" t="n">
        <x:v>131.25</x:v>
      </x:c>
      <x:c r="N16" s="22"/>
      <x:c r="O16" s="22"/>
      <x:c r="P16" s="16" t="str">
        <x:v>anthropic, openai</x:v>
      </x:c>
      <x:c r="Q16" s="16" t="str"/>
      <x:c r="R16" s="16" t="str">
        <x:v>https://platform.frimodel.com/pricing</x:v>
      </x:c>
      <x:c r="S16" s="16" t="str">
        <x:v>2026-08-10</x:v>
      </x:c>
    </x:row>
    <x:row r="17" ht="30" customHeight="1">
      <x:c r="A17" s="23" t="n">
        <x:v>12</x:v>
      </x:c>
      <x:c r="B17" s="15" t="str">
        <x:v>claude-sonnet-5</x:v>
      </x:c>
      <x:c r="C17" s="15" t="str">
        <x:v>Anthropic</x:v>
      </x:c>
      <x:c r="D17" s="15" t="str">
        <x:v>按量计费</x:v>
      </x:c>
      <x:c r="E17" s="15" t="str">
        <x:v>claude_max</x:v>
      </x:c>
      <x:c r="F17" s="19" t="n">
        <x:v>1.4</x:v>
      </x:c>
      <x:c r="G17" s="20" t="str">
        <x:v>标准</x:v>
      </x:c>
      <x:c r="H17" s="21" t="str"/>
      <x:c r="I17" s="21" t="str">
        <x:v>USD / 1M tokens</x:v>
      </x:c>
      <x:c r="J17" s="22" t="n">
        <x:v>2.8</x:v>
      </x:c>
      <x:c r="K17" s="22" t="n">
        <x:v>14</x:v>
      </x:c>
      <x:c r="L17" s="22" t="n">
        <x:v>0.28</x:v>
      </x:c>
      <x:c r="M17" s="22"/>
      <x:c r="N17" s="22"/>
      <x:c r="O17" s="22"/>
      <x:c r="P17" s="16" t="str">
        <x:v>anthropic, openai</x:v>
      </x:c>
      <x:c r="Q17" s="16" t="str"/>
      <x:c r="R17" s="16" t="str">
        <x:v>https://platform.frimodel.com/pricing</x:v>
      </x:c>
      <x:c r="S17" s="16" t="str">
        <x:v>2026-08-10</x:v>
      </x:c>
    </x:row>
    <x:row r="18" ht="30" customHeight="1">
      <x:c r="A18" s="23" t="n">
        <x:v>13</x:v>
      </x:c>
      <x:c r="B18" s="15" t="str">
        <x:v>claude-sonnet-5</x:v>
      </x:c>
      <x:c r="C18" s="15" t="str">
        <x:v>Anthropic</x:v>
      </x:c>
      <x:c r="D18" s="15" t="str">
        <x:v>按量计费</x:v>
      </x:c>
      <x:c r="E18" s="15" t="str">
        <x:v>claude_max_外接</x:v>
      </x:c>
      <x:c r="F18" s="19" t="n">
        <x:v>1.4</x:v>
      </x:c>
      <x:c r="G18" s="20" t="str">
        <x:v>标准</x:v>
      </x:c>
      <x:c r="H18" s="21" t="str"/>
      <x:c r="I18" s="21" t="str">
        <x:v>USD / 1M tokens</x:v>
      </x:c>
      <x:c r="J18" s="22" t="n">
        <x:v>2.8</x:v>
      </x:c>
      <x:c r="K18" s="22" t="n">
        <x:v>14</x:v>
      </x:c>
      <x:c r="L18" s="22" t="n">
        <x:v>0.28</x:v>
      </x:c>
      <x:c r="M18" s="22"/>
      <x:c r="N18" s="22"/>
      <x:c r="O18" s="22"/>
      <x:c r="P18" s="16" t="str">
        <x:v>anthropic, openai</x:v>
      </x:c>
      <x:c r="Q18" s="16" t="str"/>
      <x:c r="R18" s="16" t="str">
        <x:v>https://platform.frimodel.com/pricing</x:v>
      </x:c>
      <x:c r="S18" s="16" t="str">
        <x:v>2026-08-10</x:v>
      </x:c>
    </x:row>
    <x:row r="19" ht="30" customHeight="1">
      <x:c r="A19" s="23" t="n">
        <x:v>14</x:v>
      </x:c>
      <x:c r="B19" s="15" t="str">
        <x:v>codex-auto-review</x:v>
      </x:c>
      <x:c r="C19" s="15" t="str">
        <x:v>OpenAI</x:v>
      </x:c>
      <x:c r="D19" s="15" t="str">
        <x:v>按量计费</x:v>
      </x:c>
      <x:c r="E19" s="15" t="str">
        <x:v>default</x:v>
      </x:c>
      <x:c r="F19" s="19" t="n">
        <x:v>0.25</x:v>
      </x:c>
      <x:c r="G19" s="20" t="str">
        <x:v>标准</x:v>
      </x:c>
      <x:c r="H19" s="21" t="str"/>
      <x:c r="I19" s="21" t="str">
        <x:v>USD / 1M tokens</x:v>
      </x:c>
      <x:c r="J19" s="22" t="n">
        <x:v>0.5</x:v>
      </x:c>
      <x:c r="K19" s="22" t="n">
        <x:v>3</x:v>
      </x:c>
      <x:c r="L19" s="22" t="n">
        <x:v>0.05</x:v>
      </x:c>
      <x:c r="M19" s="22"/>
      <x:c r="N19" s="22"/>
      <x:c r="O19" s="22"/>
      <x:c r="P19" s="16" t="str">
        <x:v>openai</x:v>
      </x:c>
      <x:c r="Q19" s="16" t="str"/>
      <x:c r="R19" s="16" t="str">
        <x:v>https://platform.frimodel.com/pricing</x:v>
      </x:c>
      <x:c r="S19" s="16" t="str">
        <x:v>2026-08-10</x:v>
      </x:c>
    </x:row>
    <x:row r="20" ht="30" customHeight="1">
      <x:c r="A20" s="23" t="n">
        <x:v>15</x:v>
      </x:c>
      <x:c r="B20" s="15" t="str">
        <x:v>doubao-seedance-2-0-260128</x:v>
      </x:c>
      <x:c r="C20" s="15" t="str">
        <x:v>字节跳动</x:v>
      </x:c>
      <x:c r="D20" s="15" t="str">
        <x:v>动态计费</x:v>
      </x:c>
      <x:c r="E20" s="15" t="str">
        <x:v>Seedance2.0</x:v>
      </x:c>
      <x:c r="F20" s="19" t="n">
        <x:v>1</x:v>
      </x:c>
      <x:c r="G20" s="20" t="str">
        <x:v>720p</x:v>
      </x:c>
      <x:c r="H20" s="21" t="str"/>
      <x:c r="I20" s="21" t="str">
        <x:v>USD / 秒</x:v>
      </x:c>
      <x:c r="J20" s="22"/>
      <x:c r="K20" s="22"/>
      <x:c r="L20" s="22"/>
      <x:c r="M20" s="22"/>
      <x:c r="N20" s="22"/>
      <x:c r="O20" s="22" t="n">
        <x:v>1</x:v>
      </x:c>
      <x:c r="P20" s="16" t="str">
        <x:v>openai</x:v>
      </x:c>
      <x:c r="Q20" s="16" t="str"/>
      <x:c r="R20" s="16" t="str">
        <x:v>https://platform.frimodel.com/pricing</x:v>
      </x:c>
      <x:c r="S20" s="16" t="str">
        <x:v>2026-08-10</x:v>
      </x:c>
    </x:row>
    <x:row r="21" ht="30" customHeight="1">
      <x:c r="A21" s="23" t="n">
        <x:v>16</x:v>
      </x:c>
      <x:c r="B21" s="15" t="str">
        <x:v>doubao-seedance-2-0-260128</x:v>
      </x:c>
      <x:c r="C21" s="15" t="str">
        <x:v>字节跳动</x:v>
      </x:c>
      <x:c r="D21" s="15" t="str">
        <x:v>动态计费</x:v>
      </x:c>
      <x:c r="E21" s="15" t="str">
        <x:v>Seedance2.0</x:v>
      </x:c>
      <x:c r="F21" s="19" t="n">
        <x:v>1</x:v>
      </x:c>
      <x:c r="G21" s="20" t="str">
        <x:v>1080p</x:v>
      </x:c>
      <x:c r="H21" s="21" t="str"/>
      <x:c r="I21" s="21" t="str">
        <x:v>USD / 秒</x:v>
      </x:c>
      <x:c r="J21" s="22"/>
      <x:c r="K21" s="22"/>
      <x:c r="L21" s="22"/>
      <x:c r="M21" s="22"/>
      <x:c r="N21" s="22"/>
      <x:c r="O21" s="22" t="n">
        <x:v>1.2</x:v>
      </x:c>
      <x:c r="P21" s="16" t="str">
        <x:v>openai</x:v>
      </x:c>
      <x:c r="Q21" s="16" t="str"/>
      <x:c r="R21" s="16" t="str">
        <x:v>https://platform.frimodel.com/pricing</x:v>
      </x:c>
      <x:c r="S21" s="16" t="str">
        <x:v>2026-08-10</x:v>
      </x:c>
    </x:row>
    <x:row r="22" ht="30" customHeight="1">
      <x:c r="A22" s="23" t="n">
        <x:v>17</x:v>
      </x:c>
      <x:c r="B22" s="15" t="str">
        <x:v>doubao-seedance-2-0-fast-260128</x:v>
      </x:c>
      <x:c r="C22" s="15" t="str">
        <x:v>字节跳动</x:v>
      </x:c>
      <x:c r="D22" s="15" t="str">
        <x:v>动态计费</x:v>
      </x:c>
      <x:c r="E22" s="15" t="str">
        <x:v>Seedance2.0</x:v>
      </x:c>
      <x:c r="F22" s="19" t="n">
        <x:v>1</x:v>
      </x:c>
      <x:c r="G22" s="20" t="str">
        <x:v>per_second</x:v>
      </x:c>
      <x:c r="H22" s="21" t="str"/>
      <x:c r="I22" s="21" t="str">
        <x:v>USD / 秒</x:v>
      </x:c>
      <x:c r="J22" s="22"/>
      <x:c r="K22" s="22"/>
      <x:c r="L22" s="22"/>
      <x:c r="M22" s="22"/>
      <x:c r="N22" s="22"/>
      <x:c r="O22" s="22" t="n">
        <x:v>1</x:v>
      </x:c>
      <x:c r="P22" s="16" t="str">
        <x:v>openai</x:v>
      </x:c>
      <x:c r="Q22" s="16" t="str"/>
      <x:c r="R22" s="16" t="str">
        <x:v>https://platform.frimodel.com/pricing</x:v>
      </x:c>
      <x:c r="S22" s="16" t="str">
        <x:v>2026-08-10</x:v>
      </x:c>
    </x:row>
    <x:row r="23" ht="30" customHeight="1">
      <x:c r="A23" s="23" t="n">
        <x:v>18</x:v>
      </x:c>
      <x:c r="B23" s="15" t="str">
        <x:v>gemini-3-pro-image-preview</x:v>
      </x:c>
      <x:c r="C23" s="15" t="str">
        <x:v>Google</x:v>
      </x:c>
      <x:c r="D23" s="15" t="str">
        <x:v>按量计费</x:v>
      </x:c>
      <x:c r="E23" s="15" t="str">
        <x:v>gemini_image</x:v>
      </x:c>
      <x:c r="F23" s="19" t="n">
        <x:v>1</x:v>
      </x:c>
      <x:c r="G23" s="20" t="str">
        <x:v>标准</x:v>
      </x:c>
      <x:c r="H23" s="21" t="str"/>
      <x:c r="I23" s="21" t="str">
        <x:v>USD / 1M tokens</x:v>
      </x:c>
      <x:c r="J23" s="22" t="n">
        <x:v>75</x:v>
      </x:c>
      <x:c r="K23" s="22" t="n">
        <x:v>4500</x:v>
      </x:c>
      <x:c r="L23" s="22"/>
      <x:c r="M23" s="22"/>
      <x:c r="N23" s="22"/>
      <x:c r="O23" s="22"/>
      <x:c r="P23" s="16" t="str">
        <x:v>gemini, openai</x:v>
      </x:c>
      <x:c r="Q23" s="16" t="str"/>
      <x:c r="R23" s="16" t="str">
        <x:v>https://platform.frimodel.com/pricing</x:v>
      </x:c>
      <x:c r="S23" s="16" t="str">
        <x:v>2026-08-10</x:v>
      </x:c>
    </x:row>
    <x:row r="24" ht="30" customHeight="1">
      <x:c r="A24" s="23" t="n">
        <x:v>19</x:v>
      </x:c>
      <x:c r="B24" s="15" t="str">
        <x:v>gemini-3-pro-image-preview</x:v>
      </x:c>
      <x:c r="C24" s="15" t="str">
        <x:v>Google</x:v>
      </x:c>
      <x:c r="D24" s="15" t="str">
        <x:v>按量计费</x:v>
      </x:c>
      <x:c r="E24" s="15" t="str">
        <x:v>test</x:v>
      </x:c>
      <x:c r="F24" s="19" t="n">
        <x:v>1</x:v>
      </x:c>
      <x:c r="G24" s="20" t="str">
        <x:v>标准</x:v>
      </x:c>
      <x:c r="H24" s="21" t="str"/>
      <x:c r="I24" s="21" t="str">
        <x:v>USD / 1M tokens</x:v>
      </x:c>
      <x:c r="J24" s="22" t="n">
        <x:v>75</x:v>
      </x:c>
      <x:c r="K24" s="22" t="n">
        <x:v>4500</x:v>
      </x:c>
      <x:c r="L24" s="22"/>
      <x:c r="M24" s="22"/>
      <x:c r="N24" s="22"/>
      <x:c r="O24" s="22"/>
      <x:c r="P24" s="16" t="str">
        <x:v>gemini, openai</x:v>
      </x:c>
      <x:c r="Q24" s="16" t="str"/>
      <x:c r="R24" s="16" t="str">
        <x:v>https://platform.frimodel.com/pricing</x:v>
      </x:c>
      <x:c r="S24" s="16" t="str">
        <x:v>2026-08-10</x:v>
      </x:c>
    </x:row>
    <x:row r="25" ht="30" customHeight="1">
      <x:c r="A25" s="23" t="n">
        <x:v>20</x:v>
      </x:c>
      <x:c r="B25" s="15" t="str">
        <x:v>gemini-3.1-flash-image-preview</x:v>
      </x:c>
      <x:c r="C25" s="15" t="str">
        <x:v>Google</x:v>
      </x:c>
      <x:c r="D25" s="15" t="str">
        <x:v>按次计费</x:v>
      </x:c>
      <x:c r="E25" s="15" t="str">
        <x:v>gemini_image</x:v>
      </x:c>
      <x:c r="F25" s="19" t="n">
        <x:v>1</x:v>
      </x:c>
      <x:c r="G25" s="20" t="str">
        <x:v>标准</x:v>
      </x:c>
      <x:c r="H25" s="21" t="str"/>
      <x:c r="I25" s="21" t="str">
        <x:v>USD / 请求</x:v>
      </x:c>
      <x:c r="J25" s="22"/>
      <x:c r="K25" s="22"/>
      <x:c r="L25" s="22"/>
      <x:c r="M25" s="22"/>
      <x:c r="N25" s="22" t="n">
        <x:v>0.1</x:v>
      </x:c>
      <x:c r="O25" s="22"/>
      <x:c r="P25" s="16" t="str">
        <x:v>gemini, openai</x:v>
      </x:c>
      <x:c r="Q25" s="16" t="str"/>
      <x:c r="R25" s="16" t="str">
        <x:v>https://platform.frimodel.com/pricing</x:v>
      </x:c>
      <x:c r="S25" s="16" t="str">
        <x:v>2026-08-10</x:v>
      </x:c>
    </x:row>
    <x:row r="26" ht="30" customHeight="1">
      <x:c r="A26" s="23" t="n">
        <x:v>21</x:v>
      </x:c>
      <x:c r="B26" s="15" t="str">
        <x:v>gemini-3.1-flash-image-preview</x:v>
      </x:c>
      <x:c r="C26" s="15" t="str">
        <x:v>Google</x:v>
      </x:c>
      <x:c r="D26" s="15" t="str">
        <x:v>按次计费</x:v>
      </x:c>
      <x:c r="E26" s="15" t="str">
        <x:v>test</x:v>
      </x:c>
      <x:c r="F26" s="19" t="n">
        <x:v>1</x:v>
      </x:c>
      <x:c r="G26" s="20" t="str">
        <x:v>标准</x:v>
      </x:c>
      <x:c r="H26" s="21" t="str"/>
      <x:c r="I26" s="21" t="str">
        <x:v>USD / 请求</x:v>
      </x:c>
      <x:c r="J26" s="22"/>
      <x:c r="K26" s="22"/>
      <x:c r="L26" s="22"/>
      <x:c r="M26" s="22"/>
      <x:c r="N26" s="22" t="n">
        <x:v>0.1</x:v>
      </x:c>
      <x:c r="O26" s="22"/>
      <x:c r="P26" s="16" t="str">
        <x:v>gemini, openai</x:v>
      </x:c>
      <x:c r="Q26" s="16" t="str"/>
      <x:c r="R26" s="16" t="str">
        <x:v>https://platform.frimodel.com/pricing</x:v>
      </x:c>
      <x:c r="S26" s="16" t="str">
        <x:v>2026-08-10</x:v>
      </x:c>
    </x:row>
    <x:row r="27" ht="30" customHeight="1">
      <x:c r="A27" s="23" t="n">
        <x:v>22</x:v>
      </x:c>
      <x:c r="B27" s="15" t="str">
        <x:v>gpt-5.4</x:v>
      </x:c>
      <x:c r="C27" s="15" t="str">
        <x:v>OpenAI</x:v>
      </x:c>
      <x:c r="D27" s="15" t="str">
        <x:v>按量计费</x:v>
      </x:c>
      <x:c r="E27" s="15" t="str">
        <x:v>default</x:v>
      </x:c>
      <x:c r="F27" s="19" t="n">
        <x:v>0.25</x:v>
      </x:c>
      <x:c r="G27" s="20" t="str">
        <x:v>标准</x:v>
      </x:c>
      <x:c r="H27" s="21" t="str"/>
      <x:c r="I27" s="21" t="str">
        <x:v>USD / 1M tokens</x:v>
      </x:c>
      <x:c r="J27" s="22" t="n">
        <x:v>0.625</x:v>
      </x:c>
      <x:c r="K27" s="22" t="n">
        <x:v>3.75</x:v>
      </x:c>
      <x:c r="L27" s="22" t="n">
        <x:v>0.0625</x:v>
      </x:c>
      <x:c r="M27" s="22"/>
      <x:c r="N27" s="22"/>
      <x:c r="O27" s="22"/>
      <x:c r="P27" s="16" t="str">
        <x:v>openai</x:v>
      </x:c>
      <x:c r="Q27" s="16" t="str"/>
      <x:c r="R27" s="16" t="str">
        <x:v>https://platform.frimodel.com/pricing</x:v>
      </x:c>
      <x:c r="S27" s="16" t="str">
        <x:v>2026-08-10</x:v>
      </x:c>
    </x:row>
    <x:row r="28" ht="30" customHeight="1">
      <x:c r="A28" s="23" t="n">
        <x:v>23</x:v>
      </x:c>
      <x:c r="B28" s="15" t="str">
        <x:v>gpt-5.4-mini</x:v>
      </x:c>
      <x:c r="C28" s="15" t="str">
        <x:v>OpenAI</x:v>
      </x:c>
      <x:c r="D28" s="15" t="str">
        <x:v>按量计费</x:v>
      </x:c>
      <x:c r="E28" s="15" t="str">
        <x:v>default</x:v>
      </x:c>
      <x:c r="F28" s="19" t="n">
        <x:v>0.25</x:v>
      </x:c>
      <x:c r="G28" s="20" t="str">
        <x:v>标准</x:v>
      </x:c>
      <x:c r="H28" s="21" t="str"/>
      <x:c r="I28" s="21" t="str">
        <x:v>USD / 1M tokens</x:v>
      </x:c>
      <x:c r="J28" s="22" t="n">
        <x:v>0.1875</x:v>
      </x:c>
      <x:c r="K28" s="22" t="n">
        <x:v>1.125</x:v>
      </x:c>
      <x:c r="L28" s="22" t="n">
        <x:v>0.01875</x:v>
      </x:c>
      <x:c r="M28" s="22"/>
      <x:c r="N28" s="22"/>
      <x:c r="O28" s="22"/>
      <x:c r="P28" s="16" t="str">
        <x:v>openai</x:v>
      </x:c>
      <x:c r="Q28" s="16" t="str"/>
      <x:c r="R28" s="16" t="str">
        <x:v>https://platform.frimodel.com/pricing</x:v>
      </x:c>
      <x:c r="S28" s="16" t="str">
        <x:v>2026-08-10</x:v>
      </x:c>
    </x:row>
    <x:row r="29" ht="30" customHeight="1">
      <x:c r="A29" s="23" t="n">
        <x:v>24</x:v>
      </x:c>
      <x:c r="B29" s="15" t="str">
        <x:v>gpt-5.4-openai-compact</x:v>
      </x:c>
      <x:c r="C29" s="15" t="str">
        <x:v>OpenAI</x:v>
      </x:c>
      <x:c r="D29" s="15" t="str">
        <x:v>按量计费</x:v>
      </x:c>
      <x:c r="E29" s="15" t="str">
        <x:v>default</x:v>
      </x:c>
      <x:c r="F29" s="19" t="n">
        <x:v>0.25</x:v>
      </x:c>
      <x:c r="G29" s="20" t="str">
        <x:v>标准</x:v>
      </x:c>
      <x:c r="H29" s="21" t="str"/>
      <x:c r="I29" s="21" t="str">
        <x:v>USD / 1M tokens</x:v>
      </x:c>
      <x:c r="J29" s="22" t="n">
        <x:v>0.625</x:v>
      </x:c>
      <x:c r="K29" s="22" t="n">
        <x:v>3.75</x:v>
      </x:c>
      <x:c r="L29" s="22" t="n">
        <x:v>0.0625</x:v>
      </x:c>
      <x:c r="M29" s="22"/>
      <x:c r="N29" s="22"/>
      <x:c r="O29" s="22"/>
      <x:c r="P29" s="16" t="str">
        <x:v>openai</x:v>
      </x:c>
      <x:c r="Q29" s="16" t="str"/>
      <x:c r="R29" s="16" t="str">
        <x:v>https://platform.frimodel.com/pricing</x:v>
      </x:c>
      <x:c r="S29" s="16" t="str">
        <x:v>2026-08-10</x:v>
      </x:c>
    </x:row>
    <x:row r="30" ht="30" customHeight="1">
      <x:c r="A30" s="23" t="n">
        <x:v>25</x:v>
      </x:c>
      <x:c r="B30" s="15" t="str">
        <x:v>gpt-5.5</x:v>
      </x:c>
      <x:c r="C30" s="15" t="str">
        <x:v>OpenAI</x:v>
      </x:c>
      <x:c r="D30" s="15" t="str">
        <x:v>动态计费</x:v>
      </x:c>
      <x:c r="E30" s="15" t="str">
        <x:v>default</x:v>
      </x:c>
      <x:c r="F30" s="19" t="n">
        <x:v>0.25</x:v>
      </x:c>
      <x:c r="G30" s="20" t="str">
        <x:v>标准上下文</x:v>
      </x:c>
      <x:c r="H30" s="21" t="str">
        <x:v>Length &lt; 272K</x:v>
      </x:c>
      <x:c r="I30" s="21" t="str">
        <x:v>USD / 1M tokens</x:v>
      </x:c>
      <x:c r="J30" s="22" t="n">
        <x:v>1.25</x:v>
      </x:c>
      <x:c r="K30" s="22" t="n">
        <x:v>7.5</x:v>
      </x:c>
      <x:c r="L30" s="22" t="n">
        <x:v>0.125</x:v>
      </x:c>
      <x:c r="M30" s="22"/>
      <x:c r="N30" s="22"/>
      <x:c r="O30" s="22"/>
      <x:c r="P30" s="16" t="str">
        <x:v>openai</x:v>
      </x:c>
      <x:c r="Q30" s="16" t="str"/>
      <x:c r="R30" s="16" t="str">
        <x:v>https://platform.frimodel.com/pricing</x:v>
      </x:c>
      <x:c r="S30" s="16" t="str">
        <x:v>2026-08-10</x:v>
      </x:c>
    </x:row>
    <x:row r="31" ht="30" customHeight="1">
      <x:c r="A31" s="23" t="n">
        <x:v>26</x:v>
      </x:c>
      <x:c r="B31" s="15" t="str">
        <x:v>gpt-5.5</x:v>
      </x:c>
      <x:c r="C31" s="15" t="str">
        <x:v>OpenAI</x:v>
      </x:c>
      <x:c r="D31" s="15" t="str">
        <x:v>动态计费</x:v>
      </x:c>
      <x:c r="E31" s="15" t="str">
        <x:v>default</x:v>
      </x:c>
      <x:c r="F31" s="19" t="n">
        <x:v>0.25</x:v>
      </x:c>
      <x:c r="G31" s="20" t="str">
        <x:v>长上下文</x:v>
      </x:c>
      <x:c r="H31" s="21" t="str">
        <x:v>Length ≥ 272K</x:v>
      </x:c>
      <x:c r="I31" s="21" t="str">
        <x:v>USD / 1M tokens</x:v>
      </x:c>
      <x:c r="J31" s="22" t="n">
        <x:v>2.5</x:v>
      </x:c>
      <x:c r="K31" s="22" t="n">
        <x:v>11.25</x:v>
      </x:c>
      <x:c r="L31" s="22" t="n">
        <x:v>0.25</x:v>
      </x:c>
      <x:c r="M31" s="22"/>
      <x:c r="N31" s="22"/>
      <x:c r="O31" s="22"/>
      <x:c r="P31" s="16" t="str">
        <x:v>openai</x:v>
      </x:c>
      <x:c r="Q31" s="16" t="str"/>
      <x:c r="R31" s="16" t="str">
        <x:v>https://platform.frimodel.com/pricing</x:v>
      </x:c>
      <x:c r="S31" s="16" t="str">
        <x:v>2026-08-10</x:v>
      </x:c>
    </x:row>
    <x:row r="32" ht="30" customHeight="1">
      <x:c r="A32" s="23" t="n">
        <x:v>27</x:v>
      </x:c>
      <x:c r="B32" s="15" t="str">
        <x:v>gpt-5.5-openai-compact</x:v>
      </x:c>
      <x:c r="C32" s="15" t="str">
        <x:v>OpenAI</x:v>
      </x:c>
      <x:c r="D32" s="15" t="str">
        <x:v>动态计费</x:v>
      </x:c>
      <x:c r="E32" s="15" t="str">
        <x:v>default</x:v>
      </x:c>
      <x:c r="F32" s="19" t="n">
        <x:v>0.25</x:v>
      </x:c>
      <x:c r="G32" s="20" t="str">
        <x:v>标准上下文</x:v>
      </x:c>
      <x:c r="H32" s="21" t="str">
        <x:v>Length ≤ 272K</x:v>
      </x:c>
      <x:c r="I32" s="21" t="str">
        <x:v>USD / 1M tokens</x:v>
      </x:c>
      <x:c r="J32" s="22" t="n">
        <x:v>1.25</x:v>
      </x:c>
      <x:c r="K32" s="22" t="n">
        <x:v>7.5</x:v>
      </x:c>
      <x:c r="L32" s="22" t="n">
        <x:v>0.125</x:v>
      </x:c>
      <x:c r="M32" s="22"/>
      <x:c r="N32" s="22"/>
      <x:c r="O32" s="22"/>
      <x:c r="P32" s="16" t="str">
        <x:v>openai</x:v>
      </x:c>
      <x:c r="Q32" s="16" t="str">
        <x:v>详情页条件原文疑似冲突：标准上下文为 Length ≤ 272K，长上下文为 Length &lt; 272K；表格按页面原文记录，未擅自修正。</x:v>
      </x:c>
      <x:c r="R32" s="16" t="str">
        <x:v>https://platform.frimodel.com/pricing</x:v>
      </x:c>
      <x:c r="S32" s="16" t="str">
        <x:v>2026-08-10</x:v>
      </x:c>
    </x:row>
    <x:row r="33" ht="30" customHeight="1">
      <x:c r="A33" s="23" t="n">
        <x:v>28</x:v>
      </x:c>
      <x:c r="B33" s="15" t="str">
        <x:v>gpt-5.5-openai-compact</x:v>
      </x:c>
      <x:c r="C33" s="15" t="str">
        <x:v>OpenAI</x:v>
      </x:c>
      <x:c r="D33" s="15" t="str">
        <x:v>动态计费</x:v>
      </x:c>
      <x:c r="E33" s="15" t="str">
        <x:v>default</x:v>
      </x:c>
      <x:c r="F33" s="19" t="n">
        <x:v>0.25</x:v>
      </x:c>
      <x:c r="G33" s="20" t="str">
        <x:v>长上下文</x:v>
      </x:c>
      <x:c r="H33" s="21" t="str">
        <x:v>Length &lt; 272K</x:v>
      </x:c>
      <x:c r="I33" s="21" t="str">
        <x:v>USD / 1M tokens</x:v>
      </x:c>
      <x:c r="J33" s="22" t="n">
        <x:v>2.5</x:v>
      </x:c>
      <x:c r="K33" s="22" t="n">
        <x:v>11.25</x:v>
      </x:c>
      <x:c r="L33" s="22" t="n">
        <x:v>0.25</x:v>
      </x:c>
      <x:c r="M33" s="22"/>
      <x:c r="N33" s="22"/>
      <x:c r="O33" s="22"/>
      <x:c r="P33" s="16" t="str">
        <x:v>openai</x:v>
      </x:c>
      <x:c r="Q33" s="16" t="str">
        <x:v>详情页条件原文疑似冲突：标准上下文为 Length ≤ 272K，长上下文为 Length &lt; 272K；表格按页面原文记录，未擅自修正。</x:v>
      </x:c>
      <x:c r="R33" s="16" t="str">
        <x:v>https://platform.frimodel.com/pricing</x:v>
      </x:c>
      <x:c r="S33" s="16" t="str">
        <x:v>2026-08-10</x:v>
      </x:c>
    </x:row>
    <x:row r="34" ht="30" customHeight="1">
      <x:c r="A34" s="23" t="n">
        <x:v>29</x:v>
      </x:c>
      <x:c r="B34" s="15" t="str">
        <x:v>gpt-5.6-luna</x:v>
      </x:c>
      <x:c r="C34" s="15" t="str">
        <x:v>OpenAI</x:v>
      </x:c>
      <x:c r="D34" s="15" t="str">
        <x:v>动态计费</x:v>
      </x:c>
      <x:c r="E34" s="15" t="str">
        <x:v>default</x:v>
      </x:c>
      <x:c r="F34" s="19" t="n">
        <x:v>0.25</x:v>
      </x:c>
      <x:c r="G34" s="20" t="str">
        <x:v>标准上下文</x:v>
      </x:c>
      <x:c r="H34" s="21" t="str">
        <x:v>Length &lt; 272K</x:v>
      </x:c>
      <x:c r="I34" s="21" t="str">
        <x:v>USD / 1M tokens</x:v>
      </x:c>
      <x:c r="J34" s="22" t="n">
        <x:v>0.25</x:v>
      </x:c>
      <x:c r="K34" s="22" t="n">
        <x:v>1.5</x:v>
      </x:c>
      <x:c r="L34" s="22" t="n">
        <x:v>0.025</x:v>
      </x:c>
      <x:c r="M34" s="22" t="n">
        <x:v>0.3125</x:v>
      </x:c>
      <x:c r="N34" s="22"/>
      <x:c r="O34" s="22"/>
      <x:c r="P34" s="16" t="str">
        <x:v>openai</x:v>
      </x:c>
      <x:c r="Q34" s="16" t="str"/>
      <x:c r="R34" s="16" t="str">
        <x:v>https://platform.frimodel.com/pricing</x:v>
      </x:c>
      <x:c r="S34" s="16" t="str">
        <x:v>2026-08-10</x:v>
      </x:c>
    </x:row>
    <x:row r="35" ht="30" customHeight="1">
      <x:c r="A35" s="23" t="n">
        <x:v>30</x:v>
      </x:c>
      <x:c r="B35" s="15" t="str">
        <x:v>gpt-5.6-luna</x:v>
      </x:c>
      <x:c r="C35" s="15" t="str">
        <x:v>OpenAI</x:v>
      </x:c>
      <x:c r="D35" s="15" t="str">
        <x:v>动态计费</x:v>
      </x:c>
      <x:c r="E35" s="15" t="str">
        <x:v>default</x:v>
      </x:c>
      <x:c r="F35" s="19" t="n">
        <x:v>0.25</x:v>
      </x:c>
      <x:c r="G35" s="20" t="str">
        <x:v>长上下文</x:v>
      </x:c>
      <x:c r="H35" s="21" t="str">
        <x:v>Length ≥ 272K</x:v>
      </x:c>
      <x:c r="I35" s="21" t="str">
        <x:v>USD / 1M tokens</x:v>
      </x:c>
      <x:c r="J35" s="22" t="n">
        <x:v>0.5</x:v>
      </x:c>
      <x:c r="K35" s="22" t="n">
        <x:v>3</x:v>
      </x:c>
      <x:c r="L35" s="22" t="n">
        <x:v>0.05</x:v>
      </x:c>
      <x:c r="M35" s="22" t="n">
        <x:v>0.625</x:v>
      </x:c>
      <x:c r="N35" s="22"/>
      <x:c r="O35" s="22"/>
      <x:c r="P35" s="16" t="str">
        <x:v>openai</x:v>
      </x:c>
      <x:c r="Q35" s="16" t="str"/>
      <x:c r="R35" s="16" t="str">
        <x:v>https://platform.frimodel.com/pricing</x:v>
      </x:c>
      <x:c r="S35" s="16" t="str">
        <x:v>2026-08-10</x:v>
      </x:c>
    </x:row>
    <x:row r="36" ht="30" customHeight="1">
      <x:c r="A36" s="23" t="n">
        <x:v>31</x:v>
      </x:c>
      <x:c r="B36" s="15" t="str">
        <x:v>gpt-5.6-sol</x:v>
      </x:c>
      <x:c r="C36" s="15" t="str">
        <x:v>OpenAI</x:v>
      </x:c>
      <x:c r="D36" s="15" t="str">
        <x:v>动态计费</x:v>
      </x:c>
      <x:c r="E36" s="15" t="str">
        <x:v>default</x:v>
      </x:c>
      <x:c r="F36" s="19" t="n">
        <x:v>0.25</x:v>
      </x:c>
      <x:c r="G36" s="20" t="str">
        <x:v>标准上下文</x:v>
      </x:c>
      <x:c r="H36" s="21" t="str">
        <x:v>Length &lt; 272K</x:v>
      </x:c>
      <x:c r="I36" s="21" t="str">
        <x:v>USD / 1M tokens</x:v>
      </x:c>
      <x:c r="J36" s="22" t="n">
        <x:v>1.25</x:v>
      </x:c>
      <x:c r="K36" s="22" t="n">
        <x:v>7.5</x:v>
      </x:c>
      <x:c r="L36" s="22" t="n">
        <x:v>0.125</x:v>
      </x:c>
      <x:c r="M36" s="22" t="n">
        <x:v>1.5625</x:v>
      </x:c>
      <x:c r="N36" s="22"/>
      <x:c r="O36" s="22"/>
      <x:c r="P36" s="16" t="str">
        <x:v>openai</x:v>
      </x:c>
      <x:c r="Q36" s="16" t="str"/>
      <x:c r="R36" s="16" t="str">
        <x:v>https://platform.frimodel.com/pricing</x:v>
      </x:c>
      <x:c r="S36" s="16" t="str">
        <x:v>2026-08-10</x:v>
      </x:c>
    </x:row>
    <x:row r="37" ht="30" customHeight="1">
      <x:c r="A37" s="23" t="n">
        <x:v>32</x:v>
      </x:c>
      <x:c r="B37" s="15" t="str">
        <x:v>gpt-5.6-sol</x:v>
      </x:c>
      <x:c r="C37" s="15" t="str">
        <x:v>OpenAI</x:v>
      </x:c>
      <x:c r="D37" s="15" t="str">
        <x:v>动态计费</x:v>
      </x:c>
      <x:c r="E37" s="15" t="str">
        <x:v>default</x:v>
      </x:c>
      <x:c r="F37" s="19" t="n">
        <x:v>0.25</x:v>
      </x:c>
      <x:c r="G37" s="20" t="str">
        <x:v>长上下文</x:v>
      </x:c>
      <x:c r="H37" s="21" t="str">
        <x:v>Length ≥ 272K</x:v>
      </x:c>
      <x:c r="I37" s="21" t="str">
        <x:v>USD / 1M tokens</x:v>
      </x:c>
      <x:c r="J37" s="22" t="n">
        <x:v>2.5</x:v>
      </x:c>
      <x:c r="K37" s="22" t="n">
        <x:v>11.25</x:v>
      </x:c>
      <x:c r="L37" s="22" t="n">
        <x:v>0.25</x:v>
      </x:c>
      <x:c r="M37" s="22" t="n">
        <x:v>3.125</x:v>
      </x:c>
      <x:c r="N37" s="22"/>
      <x:c r="O37" s="22"/>
      <x:c r="P37" s="16" t="str">
        <x:v>openai</x:v>
      </x:c>
      <x:c r="Q37" s="16" t="str"/>
      <x:c r="R37" s="16" t="str">
        <x:v>https://platform.frimodel.com/pricing</x:v>
      </x:c>
      <x:c r="S37" s="16" t="str">
        <x:v>2026-08-10</x:v>
      </x:c>
    </x:row>
    <x:row r="38" ht="30" customHeight="1">
      <x:c r="A38" s="23" t="n">
        <x:v>33</x:v>
      </x:c>
      <x:c r="B38" s="15" t="str">
        <x:v>gpt-5.6-terra</x:v>
      </x:c>
      <x:c r="C38" s="15" t="str">
        <x:v>OpenAI</x:v>
      </x:c>
      <x:c r="D38" s="15" t="str">
        <x:v>动态计费</x:v>
      </x:c>
      <x:c r="E38" s="15" t="str">
        <x:v>default</x:v>
      </x:c>
      <x:c r="F38" s="19" t="n">
        <x:v>0.25</x:v>
      </x:c>
      <x:c r="G38" s="20" t="str">
        <x:v>标准上下文</x:v>
      </x:c>
      <x:c r="H38" s="21" t="str">
        <x:v>Length &lt; 272K</x:v>
      </x:c>
      <x:c r="I38" s="21" t="str">
        <x:v>USD / 1M tokens</x:v>
      </x:c>
      <x:c r="J38" s="22" t="n">
        <x:v>0.5</x:v>
      </x:c>
      <x:c r="K38" s="22" t="n">
        <x:v>3</x:v>
      </x:c>
      <x:c r="L38" s="22" t="n">
        <x:v>0.05</x:v>
      </x:c>
      <x:c r="M38" s="22" t="n">
        <x:v>0.625</x:v>
      </x:c>
      <x:c r="N38" s="22"/>
      <x:c r="O38" s="22"/>
      <x:c r="P38" s="16" t="str">
        <x:v>openai</x:v>
      </x:c>
      <x:c r="Q38" s="16" t="str"/>
      <x:c r="R38" s="16" t="str">
        <x:v>https://platform.frimodel.com/pricing</x:v>
      </x:c>
      <x:c r="S38" s="16" t="str">
        <x:v>2026-08-10</x:v>
      </x:c>
    </x:row>
    <x:row r="39" ht="30" customHeight="1">
      <x:c r="A39" s="23" t="n">
        <x:v>34</x:v>
      </x:c>
      <x:c r="B39" s="15" t="str">
        <x:v>gpt-5.6-terra</x:v>
      </x:c>
      <x:c r="C39" s="15" t="str">
        <x:v>OpenAI</x:v>
      </x:c>
      <x:c r="D39" s="15" t="str">
        <x:v>动态计费</x:v>
      </x:c>
      <x:c r="E39" s="15" t="str">
        <x:v>default</x:v>
      </x:c>
      <x:c r="F39" s="19" t="n">
        <x:v>0.25</x:v>
      </x:c>
      <x:c r="G39" s="20" t="str">
        <x:v>长上下文</x:v>
      </x:c>
      <x:c r="H39" s="21" t="str">
        <x:v>Length ≥ 272K</x:v>
      </x:c>
      <x:c r="I39" s="21" t="str">
        <x:v>USD / 1M tokens</x:v>
      </x:c>
      <x:c r="J39" s="22" t="n">
        <x:v>1</x:v>
      </x:c>
      <x:c r="K39" s="22" t="n">
        <x:v>4.5</x:v>
      </x:c>
      <x:c r="L39" s="22" t="n">
        <x:v>0.1</x:v>
      </x:c>
      <x:c r="M39" s="22" t="n">
        <x:v>1.25</x:v>
      </x:c>
      <x:c r="N39" s="22"/>
      <x:c r="O39" s="22"/>
      <x:c r="P39" s="16" t="str">
        <x:v>openai</x:v>
      </x:c>
      <x:c r="Q39" s="16" t="str"/>
      <x:c r="R39" s="16" t="str">
        <x:v>https://platform.frimodel.com/pricing</x:v>
      </x:c>
      <x:c r="S39" s="16" t="str">
        <x:v>2026-08-10</x:v>
      </x:c>
    </x:row>
    <x:row r="40" ht="30" customHeight="1">
      <x:c r="A40" s="23" t="n">
        <x:v>35</x:v>
      </x:c>
      <x:c r="B40" s="15" t="str">
        <x:v>gpt-image-2</x:v>
      </x:c>
      <x:c r="C40" s="15" t="str">
        <x:v>OpenAI</x:v>
      </x:c>
      <x:c r="D40" s="15" t="str">
        <x:v>按次计费</x:v>
      </x:c>
      <x:c r="E40" s="15" t="str">
        <x:v>codex_image</x:v>
      </x:c>
      <x:c r="F40" s="19" t="n">
        <x:v>0.4</x:v>
      </x:c>
      <x:c r="G40" s="20" t="str">
        <x:v>标准</x:v>
      </x:c>
      <x:c r="H40" s="21" t="str"/>
      <x:c r="I40" s="21" t="str">
        <x:v>USD / 请求</x:v>
      </x:c>
      <x:c r="J40" s="22"/>
      <x:c r="K40" s="22"/>
      <x:c r="L40" s="22"/>
      <x:c r="M40" s="22"/>
      <x:c r="N40" s="22" t="n">
        <x:v>0.028</x:v>
      </x:c>
      <x:c r="O40" s="22"/>
      <x:c r="P40" s="16" t="str">
        <x:v>openai</x:v>
      </x:c>
      <x:c r="Q40" s="16" t="str"/>
      <x:c r="R40" s="16" t="str">
        <x:v>https://platform.frimodel.com/pricing</x:v>
      </x:c>
      <x:c r="S40" s="16" t="str">
        <x:v>2026-08-10</x:v>
      </x:c>
    </x:row>
    <x:row r="41" ht="30" customHeight="1">
      <x:c r="A41" s="23" t="n">
        <x:v>36</x:v>
      </x:c>
      <x:c r="B41" s="15" t="str">
        <x:v>gpt-image-2</x:v>
      </x:c>
      <x:c r="C41" s="15" t="str">
        <x:v>OpenAI</x:v>
      </x:c>
      <x:c r="D41" s="15" t="str">
        <x:v>按次计费</x:v>
      </x:c>
      <x:c r="E41" s="15" t="str">
        <x:v>gpt_image_web</x:v>
      </x:c>
      <x:c r="F41" s="19" t="n">
        <x:v>0.4</x:v>
      </x:c>
      <x:c r="G41" s="20" t="str">
        <x:v>标准</x:v>
      </x:c>
      <x:c r="H41" s="21" t="str"/>
      <x:c r="I41" s="21" t="str">
        <x:v>USD / 请求</x:v>
      </x:c>
      <x:c r="J41" s="22"/>
      <x:c r="K41" s="22"/>
      <x:c r="L41" s="22"/>
      <x:c r="M41" s="22"/>
      <x:c r="N41" s="22" t="n">
        <x:v>0.028</x:v>
      </x:c>
      <x:c r="O41" s="22"/>
      <x:c r="P41" s="16" t="str">
        <x:v>openai</x:v>
      </x:c>
      <x:c r="Q41" s="16" t="str"/>
      <x:c r="R41" s="16" t="str">
        <x:v>https://platform.frimodel.com/pricing</x:v>
      </x:c>
      <x:c r="S41" s="16" t="str">
        <x:v>2026-08-10</x:v>
      </x:c>
    </x:row>
    <x:row r="42" ht="30" customHeight="1">
      <x:c r="A42" s="23" t="n">
        <x:v>37</x:v>
      </x:c>
      <x:c r="B42" s="15" t="str">
        <x:v>gpt-image-2-adobe</x:v>
      </x:c>
      <x:c r="C42" s="15" t="str">
        <x:v>OpenAI</x:v>
      </x:c>
      <x:c r="D42" s="15" t="str">
        <x:v>按次计费</x:v>
      </x:c>
      <x:c r="E42" s="15" t="str">
        <x:v>gpt_image_adobe</x:v>
      </x:c>
      <x:c r="F42" s="19" t="n">
        <x:v>1</x:v>
      </x:c>
      <x:c r="G42" s="20" t="str">
        <x:v>标准</x:v>
      </x:c>
      <x:c r="H42" s="21" t="str"/>
      <x:c r="I42" s="21" t="str">
        <x:v>USD / 请求</x:v>
      </x:c>
      <x:c r="J42" s="22"/>
      <x:c r="K42" s="22"/>
      <x:c r="L42" s="22"/>
      <x:c r="M42" s="22"/>
      <x:c r="N42" s="22" t="n">
        <x:v>0.07</x:v>
      </x:c>
      <x:c r="O42" s="22"/>
      <x:c r="P42" s="16" t="str">
        <x:v>openai</x:v>
      </x:c>
      <x:c r="Q42" s="16" t="str"/>
      <x:c r="R42" s="16" t="str">
        <x:v>https://platform.frimodel.com/pricing</x:v>
      </x:c>
      <x:c r="S42" s="16" t="str">
        <x:v>2026-08-10</x:v>
      </x:c>
    </x:row>
    <x:row r="43" ht="30" customHeight="1">
      <x:c r="A43" s="23" t="n">
        <x:v>38</x:v>
      </x:c>
      <x:c r="B43" s="15" t="str">
        <x:v>gpt-image-2-high</x:v>
      </x:c>
      <x:c r="C43" s="15" t="str">
        <x:v>OpenAI</x:v>
      </x:c>
      <x:c r="D43" s="15" t="str">
        <x:v>按次计费</x:v>
      </x:c>
      <x:c r="E43" s="15" t="str">
        <x:v>gpt_image_adobe</x:v>
      </x:c>
      <x:c r="F43" s="19" t="n">
        <x:v>1</x:v>
      </x:c>
      <x:c r="G43" s="20" t="str">
        <x:v>标准</x:v>
      </x:c>
      <x:c r="H43" s="21" t="str"/>
      <x:c r="I43" s="21" t="str">
        <x:v>USD / 请求</x:v>
      </x:c>
      <x:c r="J43" s="22"/>
      <x:c r="K43" s="22"/>
      <x:c r="L43" s="22"/>
      <x:c r="M43" s="22"/>
      <x:c r="N43" s="22" t="n">
        <x:v>0.07</x:v>
      </x:c>
      <x:c r="O43" s="22"/>
      <x:c r="P43" s="16" t="str">
        <x:v>openai</x:v>
      </x:c>
      <x:c r="Q43" s="16" t="str"/>
      <x:c r="R43" s="16" t="str">
        <x:v>https://platform.frimodel.com/pricing</x:v>
      </x:c>
      <x:c r="S43" s="16" t="str">
        <x:v>2026-08-10</x:v>
      </x:c>
    </x:row>
    <x:row r="44" ht="30" customHeight="1">
      <x:c r="A44" s="23" t="n">
        <x:v>39</x:v>
      </x:c>
      <x:c r="B44" s="15" t="str">
        <x:v>gpt-image-2-medium</x:v>
      </x:c>
      <x:c r="C44" s="15" t="str">
        <x:v>OpenAI</x:v>
      </x:c>
      <x:c r="D44" s="15" t="str">
        <x:v>按次计费</x:v>
      </x:c>
      <x:c r="E44" s="15" t="str">
        <x:v>gpt_image_adobe</x:v>
      </x:c>
      <x:c r="F44" s="19" t="n">
        <x:v>1</x:v>
      </x:c>
      <x:c r="G44" s="20" t="str">
        <x:v>标准</x:v>
      </x:c>
      <x:c r="H44" s="21" t="str"/>
      <x:c r="I44" s="21" t="str">
        <x:v>USD / 请求</x:v>
      </x:c>
      <x:c r="J44" s="22"/>
      <x:c r="K44" s="22"/>
      <x:c r="L44" s="22"/>
      <x:c r="M44" s="22"/>
      <x:c r="N44" s="22" t="n">
        <x:v>0.07</x:v>
      </x:c>
      <x:c r="O44" s="22"/>
      <x:c r="P44" s="16" t="str">
        <x:v>openai</x:v>
      </x:c>
      <x:c r="Q44" s="16" t="str"/>
      <x:c r="R44" s="16" t="str">
        <x:v>https://platform.frimodel.com/pricing</x:v>
      </x:c>
      <x:c r="S44" s="16" t="str">
        <x:v>2026-08-10</x:v>
      </x:c>
    </x:row>
    <x:row r="45" ht="30" customHeight="1">
      <x:c r="A45" s="23" t="n">
        <x:v>40</x:v>
      </x:c>
      <x:c r="B45" s="15" t="str">
        <x:v>gpt-image-2-w</x:v>
      </x:c>
      <x:c r="C45" s="15" t="str">
        <x:v>OpenAI</x:v>
      </x:c>
      <x:c r="D45" s="15" t="str">
        <x:v>按次计费</x:v>
      </x:c>
      <x:c r="E45" s="15" t="str">
        <x:v>codex_image</x:v>
      </x:c>
      <x:c r="F45" s="19" t="n">
        <x:v>0.4</x:v>
      </x:c>
      <x:c r="G45" s="20" t="str">
        <x:v>标准</x:v>
      </x:c>
      <x:c r="H45" s="21" t="str"/>
      <x:c r="I45" s="21" t="str">
        <x:v>USD / 请求</x:v>
      </x:c>
      <x:c r="J45" s="22"/>
      <x:c r="K45" s="22"/>
      <x:c r="L45" s="22"/>
      <x:c r="M45" s="22"/>
      <x:c r="N45" s="22" t="n">
        <x:v>0.028</x:v>
      </x:c>
      <x:c r="O45" s="22"/>
      <x:c r="P45" s="16" t="str">
        <x:v>openai</x:v>
      </x:c>
      <x:c r="Q45" s="16" t="str"/>
      <x:c r="R45" s="16" t="str">
        <x:v>https://platform.frimodel.com/pricing</x:v>
      </x:c>
      <x:c r="S45" s="16" t="str">
        <x:v>2026-08-10</x:v>
      </x:c>
    </x:row>
    <x:row r="46" ht="30" customHeight="1">
      <x:c r="A46" s="23" t="n">
        <x:v>41</x:v>
      </x:c>
      <x:c r="B46" s="15" t="str">
        <x:v>gpt-image-2-w</x:v>
      </x:c>
      <x:c r="C46" s="15" t="str">
        <x:v>OpenAI</x:v>
      </x:c>
      <x:c r="D46" s="15" t="str">
        <x:v>按次计费</x:v>
      </x:c>
      <x:c r="E46" s="15" t="str">
        <x:v>gpt_image_web</x:v>
      </x:c>
      <x:c r="F46" s="19" t="n">
        <x:v>0.4</x:v>
      </x:c>
      <x:c r="G46" s="20" t="str">
        <x:v>标准</x:v>
      </x:c>
      <x:c r="H46" s="21" t="str"/>
      <x:c r="I46" s="21" t="str">
        <x:v>USD / 请求</x:v>
      </x:c>
      <x:c r="J46" s="22"/>
      <x:c r="K46" s="22"/>
      <x:c r="L46" s="22"/>
      <x:c r="M46" s="22"/>
      <x:c r="N46" s="22" t="n">
        <x:v>0.028</x:v>
      </x:c>
      <x:c r="O46" s="22"/>
      <x:c r="P46" s="16" t="str">
        <x:v>openai</x:v>
      </x:c>
      <x:c r="Q46" s="16" t="str"/>
      <x:c r="R46" s="16" t="str">
        <x:v>https://platform.frimodel.com/pricing</x:v>
      </x:c>
      <x:c r="S46" s="16" t="str">
        <x:v>2026-08-10</x:v>
      </x:c>
    </x:row>
    <x:row r="47" ht="30" customHeight="1">
      <x:c r="A47" s="23" t="n">
        <x:v>42</x:v>
      </x:c>
      <x:c r="B47" s="15" t="str">
        <x:v>grok-imagine-image</x:v>
      </x:c>
      <x:c r="C47" s="15" t="str">
        <x:v>xAI</x:v>
      </x:c>
      <x:c r="D47" s="15" t="str">
        <x:v>按次计费</x:v>
      </x:c>
      <x:c r="E47" s="15" t="str">
        <x:v>grok</x:v>
      </x:c>
      <x:c r="F47" s="19" t="n">
        <x:v>1</x:v>
      </x:c>
      <x:c r="G47" s="20" t="str">
        <x:v>标准</x:v>
      </x:c>
      <x:c r="H47" s="21" t="str"/>
      <x:c r="I47" s="21" t="str">
        <x:v>USD / 请求</x:v>
      </x:c>
      <x:c r="J47" s="22"/>
      <x:c r="K47" s="22"/>
      <x:c r="L47" s="22"/>
      <x:c r="M47" s="22"/>
      <x:c r="N47" s="22" t="n">
        <x:v>0.02</x:v>
      </x:c>
      <x:c r="O47" s="22"/>
      <x:c r="P47" s="16" t="str">
        <x:v>openai, openai-response, openai-response-compact, anthropic, gemini, openai-alpha-search, openai-video</x:v>
      </x:c>
      <x:c r="Q47" s="16" t="str"/>
      <x:c r="R47" s="16" t="str">
        <x:v>https://platform.frimodel.com/pricing</x:v>
      </x:c>
      <x:c r="S47" s="16" t="str">
        <x:v>2026-08-10</x:v>
      </x:c>
    </x:row>
    <x:row r="48" ht="30" customHeight="1">
      <x:c r="A48" s="23" t="n">
        <x:v>43</x:v>
      </x:c>
      <x:c r="B48" s="15" t="str">
        <x:v>grok-imagine-image-quality</x:v>
      </x:c>
      <x:c r="C48" s="15" t="str">
        <x:v>xAI</x:v>
      </x:c>
      <x:c r="D48" s="15" t="str">
        <x:v>按次计费</x:v>
      </x:c>
      <x:c r="E48" s="15" t="str">
        <x:v>grok</x:v>
      </x:c>
      <x:c r="F48" s="19" t="n">
        <x:v>1</x:v>
      </x:c>
      <x:c r="G48" s="20" t="str">
        <x:v>标准</x:v>
      </x:c>
      <x:c r="H48" s="21" t="str"/>
      <x:c r="I48" s="21" t="str">
        <x:v>USD / 请求</x:v>
      </x:c>
      <x:c r="J48" s="22"/>
      <x:c r="K48" s="22"/>
      <x:c r="L48" s="22"/>
      <x:c r="M48" s="22"/>
      <x:c r="N48" s="22" t="n">
        <x:v>0.05</x:v>
      </x:c>
      <x:c r="O48" s="22"/>
      <x:c r="P48" s="16" t="str">
        <x:v>openai, openai-response, openai-response-compact, anthropic, gemini, openai-alpha-search, openai-video</x:v>
      </x:c>
      <x:c r="Q48" s="16" t="str"/>
      <x:c r="R48" s="16" t="str">
        <x:v>https://platform.frimodel.com/pricing</x:v>
      </x:c>
      <x:c r="S48" s="16" t="str">
        <x:v>2026-08-10</x:v>
      </x:c>
    </x:row>
    <x:row r="49" ht="30" customHeight="1">
      <x:c r="A49" s="23" t="n">
        <x:v>44</x:v>
      </x:c>
      <x:c r="B49" s="15" t="str">
        <x:v>grok-imagine-video</x:v>
      </x:c>
      <x:c r="C49" s="15" t="str">
        <x:v>xAI</x:v>
      </x:c>
      <x:c r="D49" s="15" t="str">
        <x:v>按量计费</x:v>
      </x:c>
      <x:c r="E49" s="15" t="str">
        <x:v>grok</x:v>
      </x:c>
      <x:c r="F49" s="19" t="n">
        <x:v>1</x:v>
      </x:c>
      <x:c r="G49" s="20" t="str">
        <x:v>标准</x:v>
      </x:c>
      <x:c r="H49" s="21" t="str"/>
      <x:c r="I49" s="21" t="str">
        <x:v>USD / 1M tokens</x:v>
      </x:c>
      <x:c r="J49" s="22" t="n">
        <x:v>75</x:v>
      </x:c>
      <x:c r="K49" s="22" t="n">
        <x:v>75</x:v>
      </x:c>
      <x:c r="L49" s="22"/>
      <x:c r="M49" s="22"/>
      <x:c r="N49" s="22"/>
      <x:c r="O49" s="22"/>
      <x:c r="P49" s="16" t="str">
        <x:v>openai, openai-response, openai-response-compact, anthropic, gemini, openai-alpha-search, openai-video</x:v>
      </x:c>
      <x:c r="Q49" s="16" t="str"/>
      <x:c r="R49" s="16" t="str">
        <x:v>https://platform.frimodel.com/pricing</x:v>
      </x:c>
      <x:c r="S49" s="16" t="str">
        <x:v>2026-08-10</x:v>
      </x:c>
    </x:row>
    <x:row r="50" ht="30" customHeight="1">
      <x:c r="A50" s="23" t="n">
        <x:v>45</x:v>
      </x:c>
      <x:c r="B50" s="15" t="str">
        <x:v>grok-imagine-video-1.5-preview</x:v>
      </x:c>
      <x:c r="C50" s="15" t="str">
        <x:v>xAI</x:v>
      </x:c>
      <x:c r="D50" s="15" t="str">
        <x:v>按次计费</x:v>
      </x:c>
      <x:c r="E50" s="15" t="str">
        <x:v>grok</x:v>
      </x:c>
      <x:c r="F50" s="19" t="n">
        <x:v>1</x:v>
      </x:c>
      <x:c r="G50" s="20" t="str">
        <x:v>标准</x:v>
      </x:c>
      <x:c r="H50" s="21" t="str"/>
      <x:c r="I50" s="21" t="str">
        <x:v>USD / 请求</x:v>
      </x:c>
      <x:c r="J50" s="22"/>
      <x:c r="K50" s="22"/>
      <x:c r="L50" s="22"/>
      <x:c r="M50" s="22"/>
      <x:c r="N50" s="22" t="n">
        <x:v>0.7</x:v>
      </x:c>
      <x:c r="O50" s="22"/>
      <x:c r="P50" s="16" t="str">
        <x:v>openai, openai-response, openai-response-compact, anthropic, gemini, openai-alpha-search, openai-video</x:v>
      </x:c>
      <x:c r="Q50" s="16" t="str"/>
      <x:c r="R50" s="16" t="str">
        <x:v>https://platform.frimodel.com/pricing</x:v>
      </x:c>
      <x:c r="S50" s="16" t="str">
        <x:v>2026-08-10</x:v>
      </x:c>
    </x:row>
    <x:row r="51" ht="30" customHeight="1">
      <x:c r="A51" s="23" t="n">
        <x:v>46</x:v>
      </x:c>
      <x:c r="B51" s="15" t="str">
        <x:v>Kling 3.0</x:v>
      </x:c>
      <x:c r="C51" s="15" t="str">
        <x:v>快手</x:v>
      </x:c>
      <x:c r="D51" s="15" t="str">
        <x:v>动态计费</x:v>
      </x:c>
      <x:c r="E51" s="15" t="str">
        <x:v>Kling</x:v>
      </x:c>
      <x:c r="F51" s="19" t="n">
        <x:v>1</x:v>
      </x:c>
      <x:c r="G51" s="20" t="str">
        <x:v>4k</x:v>
      </x:c>
      <x:c r="H51" s="21" t="str"/>
      <x:c r="I51" s="21" t="str">
        <x:v>USD / 秒</x:v>
      </x:c>
      <x:c r="J51" s="22"/>
      <x:c r="K51" s="22"/>
      <x:c r="L51" s="22"/>
      <x:c r="M51" s="22"/>
      <x:c r="N51" s="22"/>
      <x:c r="O51" s="22" t="n">
        <x:v>3</x:v>
      </x:c>
      <x:c r="P51" s="16" t="str">
        <x:v>openai</x:v>
      </x:c>
      <x:c r="Q51" s="16" t="str"/>
      <x:c r="R51" s="16" t="str">
        <x:v>https://platform.frimodel.com/pricing</x:v>
      </x:c>
      <x:c r="S51" s="16" t="str">
        <x:v>2026-08-10</x:v>
      </x:c>
    </x:row>
    <x:row r="52" ht="30" customHeight="1">
      <x:c r="A52" s="23" t="n">
        <x:v>47</x:v>
      </x:c>
      <x:c r="B52" s="15" t="str">
        <x:v>Kling 3.0</x:v>
      </x:c>
      <x:c r="C52" s="15" t="str">
        <x:v>快手</x:v>
      </x:c>
      <x:c r="D52" s="15" t="str">
        <x:v>动态计费</x:v>
      </x:c>
      <x:c r="E52" s="15" t="str">
        <x:v>Kling</x:v>
      </x:c>
      <x:c r="F52" s="19" t="n">
        <x:v>1</x:v>
      </x:c>
      <x:c r="G52" s="20" t="str">
        <x:v>pro-sound</x:v>
      </x:c>
      <x:c r="H52" s="21" t="str"/>
      <x:c r="I52" s="21" t="str">
        <x:v>USD / 秒</x:v>
      </x:c>
      <x:c r="J52" s="22"/>
      <x:c r="K52" s="22"/>
      <x:c r="L52" s="22"/>
      <x:c r="M52" s="22"/>
      <x:c r="N52" s="22"/>
      <x:c r="O52" s="22" t="n">
        <x:v>1.2</x:v>
      </x:c>
      <x:c r="P52" s="16" t="str">
        <x:v>openai</x:v>
      </x:c>
      <x:c r="Q52" s="16" t="str"/>
      <x:c r="R52" s="16" t="str">
        <x:v>https://platform.frimodel.com/pricing</x:v>
      </x:c>
      <x:c r="S52" s="16" t="str">
        <x:v>2026-08-10</x:v>
      </x:c>
    </x:row>
    <x:row r="53" ht="30" customHeight="1">
      <x:c r="A53" s="23" t="n">
        <x:v>48</x:v>
      </x:c>
      <x:c r="B53" s="15" t="str">
        <x:v>Kling 3.0</x:v>
      </x:c>
      <x:c r="C53" s="15" t="str">
        <x:v>快手</x:v>
      </x:c>
      <x:c r="D53" s="15" t="str">
        <x:v>动态计费</x:v>
      </x:c>
      <x:c r="E53" s="15" t="str">
        <x:v>Kling</x:v>
      </x:c>
      <x:c r="F53" s="19" t="n">
        <x:v>1</x:v>
      </x:c>
      <x:c r="G53" s="20" t="str">
        <x:v>pro</x:v>
      </x:c>
      <x:c r="H53" s="21" t="str"/>
      <x:c r="I53" s="21" t="str">
        <x:v>USD / 秒</x:v>
      </x:c>
      <x:c r="J53" s="22"/>
      <x:c r="K53" s="22"/>
      <x:c r="L53" s="22"/>
      <x:c r="M53" s="22"/>
      <x:c r="N53" s="22"/>
      <x:c r="O53" s="22" t="n">
        <x:v>0.8</x:v>
      </x:c>
      <x:c r="P53" s="16" t="str">
        <x:v>openai</x:v>
      </x:c>
      <x:c r="Q53" s="16" t="str"/>
      <x:c r="R53" s="16" t="str">
        <x:v>https://platform.frimodel.com/pricing</x:v>
      </x:c>
      <x:c r="S53" s="16" t="str">
        <x:v>2026-08-10</x:v>
      </x:c>
    </x:row>
    <x:row r="54" ht="30" customHeight="1">
      <x:c r="A54" s="23" t="n">
        <x:v>49</x:v>
      </x:c>
      <x:c r="B54" s="15" t="str">
        <x:v>Kling 3.0</x:v>
      </x:c>
      <x:c r="C54" s="15" t="str">
        <x:v>快手</x:v>
      </x:c>
      <x:c r="D54" s="15" t="str">
        <x:v>动态计费</x:v>
      </x:c>
      <x:c r="E54" s="15" t="str">
        <x:v>Kling</x:v>
      </x:c>
      <x:c r="F54" s="19" t="n">
        <x:v>1</x:v>
      </x:c>
      <x:c r="G54" s="20" t="str">
        <x:v>std-sound</x:v>
      </x:c>
      <x:c r="H54" s="21" t="str"/>
      <x:c r="I54" s="21" t="str">
        <x:v>USD / 秒</x:v>
      </x:c>
      <x:c r="J54" s="22"/>
      <x:c r="K54" s="22"/>
      <x:c r="L54" s="22"/>
      <x:c r="M54" s="22"/>
      <x:c r="N54" s="22"/>
      <x:c r="O54" s="22" t="n">
        <x:v>0.9</x:v>
      </x:c>
      <x:c r="P54" s="16" t="str">
        <x:v>openai</x:v>
      </x:c>
      <x:c r="Q54" s="16" t="str"/>
      <x:c r="R54" s="16" t="str">
        <x:v>https://platform.frimodel.com/pricing</x:v>
      </x:c>
      <x:c r="S54" s="16" t="str">
        <x:v>2026-08-10</x:v>
      </x:c>
    </x:row>
    <x:row r="55" ht="30" customHeight="1">
      <x:c r="A55" s="23" t="n">
        <x:v>50</x:v>
      </x:c>
      <x:c r="B55" s="15" t="str">
        <x:v>Kling 3.0</x:v>
      </x:c>
      <x:c r="C55" s="15" t="str">
        <x:v>快手</x:v>
      </x:c>
      <x:c r="D55" s="15" t="str">
        <x:v>动态计费</x:v>
      </x:c>
      <x:c r="E55" s="15" t="str">
        <x:v>Kling</x:v>
      </x:c>
      <x:c r="F55" s="19" t="n">
        <x:v>1</x:v>
      </x:c>
      <x:c r="G55" s="20" t="str">
        <x:v>std</x:v>
      </x:c>
      <x:c r="H55" s="21" t="str"/>
      <x:c r="I55" s="21" t="str">
        <x:v>USD / 秒</x:v>
      </x:c>
      <x:c r="J55" s="22"/>
      <x:c r="K55" s="22"/>
      <x:c r="L55" s="22"/>
      <x:c r="M55" s="22"/>
      <x:c r="N55" s="22"/>
      <x:c r="O55" s="22" t="n">
        <x:v>0.6</x:v>
      </x:c>
      <x:c r="P55" s="16" t="str">
        <x:v>openai</x:v>
      </x:c>
      <x:c r="Q55" s="16" t="str"/>
      <x:c r="R55" s="16" t="str">
        <x:v>https://platform.frimodel.com/pricing</x:v>
      </x:c>
      <x:c r="S55" s="16" t="str">
        <x:v>2026-08-10</x:v>
      </x:c>
    </x:row>
    <x:row r="56" ht="30" customHeight="1">
      <x:c r="A56" s="23" t="n">
        <x:v>51</x:v>
      </x:c>
      <x:c r="B56" s="15" t="str">
        <x:v>Kling 3.0 Omni</x:v>
      </x:c>
      <x:c r="C56" s="15" t="str">
        <x:v>快手</x:v>
      </x:c>
      <x:c r="D56" s="15" t="str">
        <x:v>动态计费</x:v>
      </x:c>
      <x:c r="E56" s="15" t="str">
        <x:v>Kling</x:v>
      </x:c>
      <x:c r="F56" s="19" t="n">
        <x:v>1</x:v>
      </x:c>
      <x:c r="G56" s="20" t="str">
        <x:v>4k</x:v>
      </x:c>
      <x:c r="H56" s="21" t="str"/>
      <x:c r="I56" s="21" t="str">
        <x:v>USD / 秒</x:v>
      </x:c>
      <x:c r="J56" s="22"/>
      <x:c r="K56" s="22"/>
      <x:c r="L56" s="22"/>
      <x:c r="M56" s="22"/>
      <x:c r="N56" s="22"/>
      <x:c r="O56" s="22" t="n">
        <x:v>3</x:v>
      </x:c>
      <x:c r="P56" s="16" t="str">
        <x:v>openai</x:v>
      </x:c>
      <x:c r="Q56" s="16" t="str"/>
      <x:c r="R56" s="16" t="str">
        <x:v>https://platform.frimodel.com/pricing</x:v>
      </x:c>
      <x:c r="S56" s="16" t="str">
        <x:v>2026-08-10</x:v>
      </x:c>
    </x:row>
    <x:row r="57" ht="30" customHeight="1">
      <x:c r="A57" s="23" t="n">
        <x:v>52</x:v>
      </x:c>
      <x:c r="B57" s="15" t="str">
        <x:v>Kling 3.0 Omni</x:v>
      </x:c>
      <x:c r="C57" s="15" t="str">
        <x:v>快手</x:v>
      </x:c>
      <x:c r="D57" s="15" t="str">
        <x:v>动态计费</x:v>
      </x:c>
      <x:c r="E57" s="15" t="str">
        <x:v>Kling</x:v>
      </x:c>
      <x:c r="F57" s="19" t="n">
        <x:v>1</x:v>
      </x:c>
      <x:c r="G57" s="20" t="str">
        <x:v>pro-reference</x:v>
      </x:c>
      <x:c r="H57" s="21" t="str"/>
      <x:c r="I57" s="21" t="str">
        <x:v>USD / 秒</x:v>
      </x:c>
      <x:c r="J57" s="22"/>
      <x:c r="K57" s="22"/>
      <x:c r="L57" s="22"/>
      <x:c r="M57" s="22"/>
      <x:c r="N57" s="22"/>
      <x:c r="O57" s="22" t="n">
        <x:v>1.2</x:v>
      </x:c>
      <x:c r="P57" s="16" t="str">
        <x:v>openai</x:v>
      </x:c>
      <x:c r="Q57" s="16" t="str"/>
      <x:c r="R57" s="16" t="str">
        <x:v>https://platform.frimodel.com/pricing</x:v>
      </x:c>
      <x:c r="S57" s="16" t="str">
        <x:v>2026-08-10</x:v>
      </x:c>
    </x:row>
    <x:row r="58" ht="30" customHeight="1">
      <x:c r="A58" s="23" t="n">
        <x:v>53</x:v>
      </x:c>
      <x:c r="B58" s="15" t="str">
        <x:v>Kling 3.0 Omni</x:v>
      </x:c>
      <x:c r="C58" s="15" t="str">
        <x:v>快手</x:v>
      </x:c>
      <x:c r="D58" s="15" t="str">
        <x:v>动态计费</x:v>
      </x:c>
      <x:c r="E58" s="15" t="str">
        <x:v>Kling</x:v>
      </x:c>
      <x:c r="F58" s="19" t="n">
        <x:v>1</x:v>
      </x:c>
      <x:c r="G58" s="20" t="str">
        <x:v>pro-sound</x:v>
      </x:c>
      <x:c r="H58" s="21" t="str"/>
      <x:c r="I58" s="21" t="str">
        <x:v>USD / 秒</x:v>
      </x:c>
      <x:c r="J58" s="22"/>
      <x:c r="K58" s="22"/>
      <x:c r="L58" s="22"/>
      <x:c r="M58" s="22"/>
      <x:c r="N58" s="22"/>
      <x:c r="O58" s="22" t="n">
        <x:v>1</x:v>
      </x:c>
      <x:c r="P58" s="16" t="str">
        <x:v>openai</x:v>
      </x:c>
      <x:c r="Q58" s="16" t="str"/>
      <x:c r="R58" s="16" t="str">
        <x:v>https://platform.frimodel.com/pricing</x:v>
      </x:c>
      <x:c r="S58" s="16" t="str">
        <x:v>2026-08-10</x:v>
      </x:c>
    </x:row>
    <x:row r="59" ht="30" customHeight="1">
      <x:c r="A59" s="23" t="n">
        <x:v>54</x:v>
      </x:c>
      <x:c r="B59" s="15" t="str">
        <x:v>Kling 3.0 Omni</x:v>
      </x:c>
      <x:c r="C59" s="15" t="str">
        <x:v>快手</x:v>
      </x:c>
      <x:c r="D59" s="15" t="str">
        <x:v>动态计费</x:v>
      </x:c>
      <x:c r="E59" s="15" t="str">
        <x:v>Kling</x:v>
      </x:c>
      <x:c r="F59" s="19" t="n">
        <x:v>1</x:v>
      </x:c>
      <x:c r="G59" s="20" t="str">
        <x:v>pro</x:v>
      </x:c>
      <x:c r="H59" s="21" t="str"/>
      <x:c r="I59" s="21" t="str">
        <x:v>USD / 秒</x:v>
      </x:c>
      <x:c r="J59" s="22"/>
      <x:c r="K59" s="22"/>
      <x:c r="L59" s="22"/>
      <x:c r="M59" s="22"/>
      <x:c r="N59" s="22"/>
      <x:c r="O59" s="22" t="n">
        <x:v>0.8</x:v>
      </x:c>
      <x:c r="P59" s="16" t="str">
        <x:v>openai</x:v>
      </x:c>
      <x:c r="Q59" s="16" t="str"/>
      <x:c r="R59" s="16" t="str">
        <x:v>https://platform.frimodel.com/pricing</x:v>
      </x:c>
      <x:c r="S59" s="16" t="str">
        <x:v>2026-08-10</x:v>
      </x:c>
    </x:row>
    <x:row r="60" ht="30" customHeight="1">
      <x:c r="A60" s="23" t="n">
        <x:v>55</x:v>
      </x:c>
      <x:c r="B60" s="15" t="str">
        <x:v>Kling 3.0 Omni</x:v>
      </x:c>
      <x:c r="C60" s="15" t="str">
        <x:v>快手</x:v>
      </x:c>
      <x:c r="D60" s="15" t="str">
        <x:v>动态计费</x:v>
      </x:c>
      <x:c r="E60" s="15" t="str">
        <x:v>Kling</x:v>
      </x:c>
      <x:c r="F60" s="19" t="n">
        <x:v>1</x:v>
      </x:c>
      <x:c r="G60" s="20" t="str">
        <x:v>std-reference</x:v>
      </x:c>
      <x:c r="H60" s="21" t="str"/>
      <x:c r="I60" s="21" t="str">
        <x:v>USD / 秒</x:v>
      </x:c>
      <x:c r="J60" s="22"/>
      <x:c r="K60" s="22"/>
      <x:c r="L60" s="22"/>
      <x:c r="M60" s="22"/>
      <x:c r="N60" s="22"/>
      <x:c r="O60" s="22" t="n">
        <x:v>0.9</x:v>
      </x:c>
      <x:c r="P60" s="16" t="str">
        <x:v>openai</x:v>
      </x:c>
      <x:c r="Q60" s="16" t="str"/>
      <x:c r="R60" s="16" t="str">
        <x:v>https://platform.frimodel.com/pricing</x:v>
      </x:c>
      <x:c r="S60" s="16" t="str">
        <x:v>2026-08-10</x:v>
      </x:c>
    </x:row>
    <x:row r="61" ht="30" customHeight="1">
      <x:c r="A61" s="23" t="n">
        <x:v>56</x:v>
      </x:c>
      <x:c r="B61" s="15" t="str">
        <x:v>Kling 3.0 Omni</x:v>
      </x:c>
      <x:c r="C61" s="15" t="str">
        <x:v>快手</x:v>
      </x:c>
      <x:c r="D61" s="15" t="str">
        <x:v>动态计费</x:v>
      </x:c>
      <x:c r="E61" s="15" t="str">
        <x:v>Kling</x:v>
      </x:c>
      <x:c r="F61" s="19" t="n">
        <x:v>1</x:v>
      </x:c>
      <x:c r="G61" s="20" t="str">
        <x:v>std-sound</x:v>
      </x:c>
      <x:c r="H61" s="21" t="str"/>
      <x:c r="I61" s="21" t="str">
        <x:v>USD / 秒</x:v>
      </x:c>
      <x:c r="J61" s="22"/>
      <x:c r="K61" s="22"/>
      <x:c r="L61" s="22"/>
      <x:c r="M61" s="22"/>
      <x:c r="N61" s="22"/>
      <x:c r="O61" s="22" t="n">
        <x:v>0.8</x:v>
      </x:c>
      <x:c r="P61" s="16" t="str">
        <x:v>openai</x:v>
      </x:c>
      <x:c r="Q61" s="16" t="str"/>
      <x:c r="R61" s="16" t="str">
        <x:v>https://platform.frimodel.com/pricing</x:v>
      </x:c>
      <x:c r="S61" s="16" t="str">
        <x:v>2026-08-10</x:v>
      </x:c>
    </x:row>
    <x:row r="62" ht="30" customHeight="1">
      <x:c r="A62" s="23" t="n">
        <x:v>57</x:v>
      </x:c>
      <x:c r="B62" s="15" t="str">
        <x:v>Kling 3.0 Omni</x:v>
      </x:c>
      <x:c r="C62" s="15" t="str">
        <x:v>快手</x:v>
      </x:c>
      <x:c r="D62" s="15" t="str">
        <x:v>动态计费</x:v>
      </x:c>
      <x:c r="E62" s="15" t="str">
        <x:v>Kling</x:v>
      </x:c>
      <x:c r="F62" s="19" t="n">
        <x:v>1</x:v>
      </x:c>
      <x:c r="G62" s="20" t="str">
        <x:v>std</x:v>
      </x:c>
      <x:c r="H62" s="21" t="str"/>
      <x:c r="I62" s="21" t="str">
        <x:v>USD / 秒</x:v>
      </x:c>
      <x:c r="J62" s="22"/>
      <x:c r="K62" s="22"/>
      <x:c r="L62" s="22"/>
      <x:c r="M62" s="22"/>
      <x:c r="N62" s="22"/>
      <x:c r="O62" s="22" t="n">
        <x:v>0.6</x:v>
      </x:c>
      <x:c r="P62" s="16" t="str">
        <x:v>openai</x:v>
      </x:c>
      <x:c r="Q62" s="16" t="str"/>
      <x:c r="R62" s="16" t="str">
        <x:v>https://platform.frimodel.com/pricing</x:v>
      </x:c>
      <x:c r="S62" s="16" t="str">
        <x:v>2026-08-10</x:v>
      </x:c>
    </x:row>
    <x:row r="63" ht="30" customHeight="1">
      <x:c r="A63" s="23" t="n">
        <x:v>58</x:v>
      </x:c>
      <x:c r="B63" s="15" t="str">
        <x:v>Kling 3.0 Turbo</x:v>
      </x:c>
      <x:c r="C63" s="15" t="str">
        <x:v>快手</x:v>
      </x:c>
      <x:c r="D63" s="15" t="str">
        <x:v>动态计费</x:v>
      </x:c>
      <x:c r="E63" s="15" t="str">
        <x:v>Kling</x:v>
      </x:c>
      <x:c r="F63" s="19" t="n">
        <x:v>1</x:v>
      </x:c>
      <x:c r="G63" s="20" t="str">
        <x:v>1080p</x:v>
      </x:c>
      <x:c r="H63" s="21" t="str"/>
      <x:c r="I63" s="21" t="str">
        <x:v>USD / 秒</x:v>
      </x:c>
      <x:c r="J63" s="22"/>
      <x:c r="K63" s="22"/>
      <x:c r="L63" s="22"/>
      <x:c r="M63" s="22"/>
      <x:c r="N63" s="22"/>
      <x:c r="O63" s="22" t="n">
        <x:v>1</x:v>
      </x:c>
      <x:c r="P63" s="16" t="str">
        <x:v>openai</x:v>
      </x:c>
      <x:c r="Q63" s="16" t="str"/>
      <x:c r="R63" s="16" t="str">
        <x:v>https://platform.frimodel.com/pricing</x:v>
      </x:c>
      <x:c r="S63" s="16" t="str">
        <x:v>2026-08-10</x:v>
      </x:c>
    </x:row>
    <x:row r="64" ht="30" customHeight="1">
      <x:c r="A64" s="23" t="n">
        <x:v>59</x:v>
      </x:c>
      <x:c r="B64" s="15" t="str">
        <x:v>Kling 3.0 Turbo</x:v>
      </x:c>
      <x:c r="C64" s="15" t="str">
        <x:v>快手</x:v>
      </x:c>
      <x:c r="D64" s="15" t="str">
        <x:v>动态计费</x:v>
      </x:c>
      <x:c r="E64" s="15" t="str">
        <x:v>Kling</x:v>
      </x:c>
      <x:c r="F64" s="19" t="n">
        <x:v>1</x:v>
      </x:c>
      <x:c r="G64" s="20" t="str">
        <x:v>720p</x:v>
      </x:c>
      <x:c r="H64" s="21" t="str"/>
      <x:c r="I64" s="21" t="str">
        <x:v>USD / 秒</x:v>
      </x:c>
      <x:c r="J64" s="22"/>
      <x:c r="K64" s="22"/>
      <x:c r="L64" s="22"/>
      <x:c r="M64" s="22"/>
      <x:c r="N64" s="22"/>
      <x:c r="O64" s="22" t="n">
        <x:v>0.8</x:v>
      </x:c>
      <x:c r="P64" s="16" t="str">
        <x:v>openai</x:v>
      </x:c>
      <x:c r="Q64" s="16" t="str"/>
      <x:c r="R64" s="16" t="str">
        <x:v>https://platform.frimodel.com/pricing</x:v>
      </x:c>
      <x:c r="S64" s="16" t="str">
        <x:v>2026-08-10</x:v>
      </x:c>
    </x:row>
    <x:row r="65" ht="30" customHeight="1">
      <x:c r="A65" s="23" t="n">
        <x:v>60</x:v>
      </x:c>
      <x:c r="B65" s="15" t="str">
        <x:v>seedance-2.5</x:v>
      </x:c>
      <x:c r="C65" s="15" t="str">
        <x:v>页面未标注</x:v>
      </x:c>
      <x:c r="D65" s="15" t="str">
        <x:v>动态计费</x:v>
      </x:c>
      <x:c r="E65" s="15" t="str">
        <x:v>Seedance2.0</x:v>
      </x:c>
      <x:c r="F65" s="19" t="n">
        <x:v>1</x:v>
      </x:c>
      <x:c r="G65" s="20" t="str">
        <x:v>480p</x:v>
      </x:c>
      <x:c r="H65" s="21" t="str"/>
      <x:c r="I65" s="21" t="str">
        <x:v>USD / 秒</x:v>
      </x:c>
      <x:c r="J65" s="22"/>
      <x:c r="K65" s="22"/>
      <x:c r="L65" s="22"/>
      <x:c r="M65" s="22"/>
      <x:c r="N65" s="22"/>
      <x:c r="O65" s="22" t="n">
        <x:v>0.28</x:v>
      </x:c>
      <x:c r="P65" s="16" t="str">
        <x:v>openai, openai-response, openai-response-compact, anthropic, gemini, openai-alpha-search</x:v>
      </x:c>
      <x:c r="Q65" s="16" t="str"/>
      <x:c r="R65" s="16" t="str">
        <x:v>https://platform.frimodel.com/pricing</x:v>
      </x:c>
      <x:c r="S65" s="16" t="str">
        <x:v>2026-08-10</x:v>
      </x:c>
    </x:row>
    <x:row r="66" ht="30" customHeight="1">
      <x:c r="A66" s="23" t="n">
        <x:v>61</x:v>
      </x:c>
      <x:c r="B66" s="15" t="str">
        <x:v>seedance-2.5</x:v>
      </x:c>
      <x:c r="C66" s="15" t="str">
        <x:v>页面未标注</x:v>
      </x:c>
      <x:c r="D66" s="15" t="str">
        <x:v>动态计费</x:v>
      </x:c>
      <x:c r="E66" s="15" t="str">
        <x:v>Seedance2.0</x:v>
      </x:c>
      <x:c r="F66" s="19" t="n">
        <x:v>1</x:v>
      </x:c>
      <x:c r="G66" s="20" t="str">
        <x:v>720p</x:v>
      </x:c>
      <x:c r="H66" s="21" t="str"/>
      <x:c r="I66" s="21" t="str">
        <x:v>USD / 秒</x:v>
      </x:c>
      <x:c r="J66" s="22"/>
      <x:c r="K66" s="22"/>
      <x:c r="L66" s="22"/>
      <x:c r="M66" s="22"/>
      <x:c r="N66" s="22"/>
      <x:c r="O66" s="22" t="n">
        <x:v>0.4</x:v>
      </x:c>
      <x:c r="P66" s="16" t="str">
        <x:v>openai, openai-response, openai-response-compact, anthropic, gemini, openai-alpha-search</x:v>
      </x:c>
      <x:c r="Q66" s="16" t="str"/>
      <x:c r="R66" s="16" t="str">
        <x:v>https://platform.frimodel.com/pricing</x:v>
      </x:c>
      <x:c r="S66" s="16" t="str">
        <x:v>2026-08-10</x:v>
      </x:c>
    </x:row>
    <x:row r="67" ht="30" customHeight="1">
      <x:c r="A67" s="23" t="n">
        <x:v>62</x:v>
      </x:c>
      <x:c r="B67" s="15" t="str">
        <x:v>seedance2.0</x:v>
      </x:c>
      <x:c r="C67" s="15" t="str">
        <x:v>页面未标注</x:v>
      </x:c>
      <x:c r="D67" s="15" t="str">
        <x:v>动态计费</x:v>
      </x:c>
      <x:c r="E67" s="15" t="str">
        <x:v>Seedance2.0</x:v>
      </x:c>
      <x:c r="F67" s="19" t="n">
        <x:v>1</x:v>
      </x:c>
      <x:c r="G67" s="20" t="str">
        <x:v>per_request</x:v>
      </x:c>
      <x:c r="H67" s="21" t="str"/>
      <x:c r="I67" s="21" t="str">
        <x:v>USD / 请求</x:v>
      </x:c>
      <x:c r="J67" s="22"/>
      <x:c r="K67" s="22"/>
      <x:c r="L67" s="22"/>
      <x:c r="M67" s="22"/>
      <x:c r="N67" s="22" t="n">
        <x:v>3.5</x:v>
      </x:c>
      <x:c r="O67" s="22"/>
      <x:c r="P67" s="16" t="str">
        <x:v>openai-video</x:v>
      </x:c>
      <x:c r="Q67" s="16" t="str"/>
      <x:c r="R67" s="16" t="str">
        <x:v>https://platform.frimodel.com/pricing</x:v>
      </x:c>
      <x:c r="S67" s="16" t="str">
        <x:v>2026-08-10</x:v>
      </x:c>
    </x:row>
    <x:row r="68" ht="30" customHeight="1">
      <x:c r="A68" s="23" t="n">
        <x:v>63</x:v>
      </x:c>
      <x:c r="B68" s="15" t="str">
        <x:v>tvideos</x:v>
      </x:c>
      <x:c r="C68" s="15" t="str">
        <x:v>页面未标注</x:v>
      </x:c>
      <x:c r="D68" s="15" t="str">
        <x:v>动态计费</x:v>
      </x:c>
      <x:c r="E68" s="15" t="str">
        <x:v>Seedance2.0</x:v>
      </x:c>
      <x:c r="F68" s="19" t="n">
        <x:v>1</x:v>
      </x:c>
      <x:c r="G68" s="20" t="str">
        <x:v>480p</x:v>
      </x:c>
      <x:c r="H68" s="21" t="str"/>
      <x:c r="I68" s="21" t="str">
        <x:v>USD / 请求</x:v>
      </x:c>
      <x:c r="J68" s="22"/>
      <x:c r="K68" s="22"/>
      <x:c r="L68" s="22"/>
      <x:c r="M68" s="22"/>
      <x:c r="N68" s="22" t="n">
        <x:v>5.5</x:v>
      </x:c>
      <x:c r="O68" s="22"/>
      <x:c r="P68" s="16" t="str">
        <x:v>openai, openai-response, openai-response-compact, anthropic, gemini, openai-alpha-search</x:v>
      </x:c>
      <x:c r="Q68" s="16" t="str"/>
      <x:c r="R68" s="16" t="str">
        <x:v>https://platform.frimodel.com/pricing</x:v>
      </x:c>
      <x:c r="S68" s="16" t="str">
        <x:v>2026-08-10</x:v>
      </x:c>
    </x:row>
    <x:row r="69" ht="30" customHeight="1">
      <x:c r="A69" s="23" t="n">
        <x:v>64</x:v>
      </x:c>
      <x:c r="B69" s="15" t="str">
        <x:v>tvideos</x:v>
      </x:c>
      <x:c r="C69" s="15" t="str">
        <x:v>页面未标注</x:v>
      </x:c>
      <x:c r="D69" s="15" t="str">
        <x:v>动态计费</x:v>
      </x:c>
      <x:c r="E69" s="15" t="str">
        <x:v>Seedance2.0</x:v>
      </x:c>
      <x:c r="F69" s="19" t="n">
        <x:v>1</x:v>
      </x:c>
      <x:c r="G69" s="20" t="str">
        <x:v>720p</x:v>
      </x:c>
      <x:c r="H69" s="21" t="str"/>
      <x:c r="I69" s="21" t="str">
        <x:v>USD / 请求</x:v>
      </x:c>
      <x:c r="J69" s="22"/>
      <x:c r="K69" s="22"/>
      <x:c r="L69" s="22"/>
      <x:c r="M69" s="22"/>
      <x:c r="N69" s="22" t="n">
        <x:v>8</x:v>
      </x:c>
      <x:c r="O69" s="22"/>
      <x:c r="P69" s="16" t="str">
        <x:v>openai, openai-response, openai-response-compact, anthropic, gemini, openai-alpha-search</x:v>
      </x:c>
      <x:c r="Q69" s="16" t="str"/>
      <x:c r="R69" s="16" t="str">
        <x:v>https://platform.frimodel.com/pricing</x:v>
      </x:c>
      <x:c r="S69" s="16" t="str">
        <x:v>2026-08-10</x:v>
      </x:c>
    </x:row>
    <x:row r="70" ht="30" customHeight="1">
      <x:c r="A70" s="23" t="n">
        <x:v>65</x:v>
      </x:c>
      <x:c r="B70" s="15" t="str">
        <x:v>tvideos</x:v>
      </x:c>
      <x:c r="C70" s="15" t="str">
        <x:v>页面未标注</x:v>
      </x:c>
      <x:c r="D70" s="15" t="str">
        <x:v>动态计费</x:v>
      </x:c>
      <x:c r="E70" s="15" t="str">
        <x:v>Seedance2.0</x:v>
      </x:c>
      <x:c r="F70" s="19" t="n">
        <x:v>1</x:v>
      </x:c>
      <x:c r="G70" s="20" t="str">
        <x:v>1080p</x:v>
      </x:c>
      <x:c r="H70" s="21" t="str"/>
      <x:c r="I70" s="21" t="str">
        <x:v>USD / 秒</x:v>
      </x:c>
      <x:c r="J70" s="22"/>
      <x:c r="K70" s="22"/>
      <x:c r="L70" s="22"/>
      <x:c r="M70" s="22"/>
      <x:c r="N70" s="22"/>
      <x:c r="O70" s="22" t="n">
        <x:v>1</x:v>
      </x:c>
      <x:c r="P70" s="16" t="str">
        <x:v>openai, openai-response, openai-response-compact, anthropic, gemini, openai-alpha-search</x:v>
      </x:c>
      <x:c r="Q70" s="16" t="str"/>
      <x:c r="R70" s="16" t="str">
        <x:v>https://platform.frimodel.com/pricing</x:v>
      </x:c>
      <x:c r="S70" s="16" t="str">
        <x:v>2026-08-10</x:v>
      </x:c>
    </x:row>
    <x:row r="71" ht="30" customHeight="1">
      <x:c r="A71" s="23" t="n">
        <x:v>66</x:v>
      </x:c>
      <x:c r="B71" s="15" t="str">
        <x:v>tvideos</x:v>
      </x:c>
      <x:c r="C71" s="15" t="str">
        <x:v>页面未标注</x:v>
      </x:c>
      <x:c r="D71" s="15" t="str">
        <x:v>动态计费</x:v>
      </x:c>
      <x:c r="E71" s="15" t="str">
        <x:v>Seedance2.0</x:v>
      </x:c>
      <x:c r="F71" s="19" t="n">
        <x:v>1</x:v>
      </x:c>
      <x:c r="G71" s="20" t="str">
        <x:v>4k</x:v>
      </x:c>
      <x:c r="H71" s="21" t="str"/>
      <x:c r="I71" s="21" t="str">
        <x:v>USD / 秒</x:v>
      </x:c>
      <x:c r="J71" s="22"/>
      <x:c r="K71" s="22"/>
      <x:c r="L71" s="22"/>
      <x:c r="M71" s="22"/>
      <x:c r="N71" s="22"/>
      <x:c r="O71" s="22" t="n">
        <x:v>2</x:v>
      </x:c>
      <x:c r="P71" s="16" t="str">
        <x:v>openai, openai-response, openai-response-compact, anthropic, gemini, openai-alpha-search</x:v>
      </x:c>
      <x:c r="Q71" s="16" t="str"/>
      <x:c r="R71" s="16" t="str">
        <x:v>https://platform.frimodel.com/pricing</x:v>
      </x:c>
      <x:c r="S71" s="16" t="str">
        <x:v>2026-08-10</x:v>
      </x:c>
    </x:row>
    <x:row r="72" ht="30" customHeight="1">
      <x:c r="A72" s="23" t="n">
        <x:v>67</x:v>
      </x:c>
      <x:c r="B72" s="15" t="str">
        <x:v>tvideos-mini</x:v>
      </x:c>
      <x:c r="C72" s="15" t="str">
        <x:v>页面未标注</x:v>
      </x:c>
      <x:c r="D72" s="15" t="str">
        <x:v>动态计费</x:v>
      </x:c>
      <x:c r="E72" s="15" t="str">
        <x:v>Seedance2.0</x:v>
      </x:c>
      <x:c r="F72" s="19" t="n">
        <x:v>1</x:v>
      </x:c>
      <x:c r="G72" s="20" t="str">
        <x:v>480p</x:v>
      </x:c>
      <x:c r="H72" s="21" t="str"/>
      <x:c r="I72" s="21" t="str">
        <x:v>USD / 请求</x:v>
      </x:c>
      <x:c r="J72" s="22"/>
      <x:c r="K72" s="22"/>
      <x:c r="L72" s="22"/>
      <x:c r="M72" s="22"/>
      <x:c r="N72" s="22" t="n">
        <x:v>2.5</x:v>
      </x:c>
      <x:c r="O72" s="22"/>
      <x:c r="P72" s="16" t="str">
        <x:v>openai, openai-response, openai-response-compact, anthropic, gemini, openai-alpha-search</x:v>
      </x:c>
      <x:c r="Q72" s="16" t="str"/>
      <x:c r="R72" s="16" t="str">
        <x:v>https://platform.frimodel.com/pricing</x:v>
      </x:c>
      <x:c r="S72" s="16" t="str">
        <x:v>2026-08-10</x:v>
      </x:c>
    </x:row>
    <x:row r="73" ht="30" customHeight="1">
      <x:c r="A73" s="23" t="n">
        <x:v>68</x:v>
      </x:c>
      <x:c r="B73" s="15" t="str">
        <x:v>tvideos-mini</x:v>
      </x:c>
      <x:c r="C73" s="15" t="str">
        <x:v>页面未标注</x:v>
      </x:c>
      <x:c r="D73" s="15" t="str">
        <x:v>动态计费</x:v>
      </x:c>
      <x:c r="E73" s="15" t="str">
        <x:v>Seedance2.0</x:v>
      </x:c>
      <x:c r="F73" s="19" t="n">
        <x:v>1</x:v>
      </x:c>
      <x:c r="G73" s="20" t="str">
        <x:v>720p</x:v>
      </x:c>
      <x:c r="H73" s="21" t="str"/>
      <x:c r="I73" s="21" t="str">
        <x:v>USD / 请求</x:v>
      </x:c>
      <x:c r="J73" s="22"/>
      <x:c r="K73" s="22"/>
      <x:c r="L73" s="22"/>
      <x:c r="M73" s="22"/>
      <x:c r="N73" s="22" t="n">
        <x:v>5</x:v>
      </x:c>
      <x:c r="O73" s="22"/>
      <x:c r="P73" s="16" t="str">
        <x:v>openai, openai-response, openai-response-compact, anthropic, gemini, openai-alpha-search</x:v>
      </x:c>
      <x:c r="Q73" s="16" t="str"/>
      <x:c r="R73" s="16" t="str">
        <x:v>https://platform.frimodel.com/pricing</x:v>
      </x:c>
      <x:c r="S73" s="16" t="str">
        <x:v>2026-08-10</x:v>
      </x:c>
    </x:row>
    <x:row r="74" ht="30" customHeight="1">
      <x:c r="A74" s="23" t="n">
        <x:v>69</x:v>
      </x:c>
      <x:c r="B74" s="15" t="str">
        <x:v>videos-4</x:v>
      </x:c>
      <x:c r="C74" s="15" t="str">
        <x:v>Doubao</x:v>
      </x:c>
      <x:c r="D74" s="15" t="str">
        <x:v>动态计费</x:v>
      </x:c>
      <x:c r="E74" s="15" t="str">
        <x:v>Seedance2.0</x:v>
      </x:c>
      <x:c r="F74" s="19" t="n">
        <x:v>1</x:v>
      </x:c>
      <x:c r="G74" s="20" t="str">
        <x:v>480p</x:v>
      </x:c>
      <x:c r="H74" s="21" t="str"/>
      <x:c r="I74" s="21" t="str">
        <x:v>USD / 秒</x:v>
      </x:c>
      <x:c r="J74" s="22"/>
      <x:c r="K74" s="22"/>
      <x:c r="L74" s="22"/>
      <x:c r="M74" s="22"/>
      <x:c r="N74" s="22"/>
      <x:c r="O74" s="22" t="n">
        <x:v>0.35</x:v>
      </x:c>
      <x:c r="P74" s="16" t="str">
        <x:v>openai, openai-response, openai-response-compact, anthropic, gemini, openai-alpha-search, openai-video</x:v>
      </x:c>
      <x:c r="Q74" s="16" t="str"/>
      <x:c r="R74" s="16" t="str">
        <x:v>https://platform.frimodel.com/pricing</x:v>
      </x:c>
      <x:c r="S74" s="16" t="str">
        <x:v>2026-08-10</x:v>
      </x:c>
    </x:row>
    <x:row r="75" ht="30" customHeight="1">
      <x:c r="A75" s="23" t="n">
        <x:v>70</x:v>
      </x:c>
      <x:c r="B75" s="15" t="str">
        <x:v>videos-4</x:v>
      </x:c>
      <x:c r="C75" s="15" t="str">
        <x:v>Doubao</x:v>
      </x:c>
      <x:c r="D75" s="15" t="str">
        <x:v>动态计费</x:v>
      </x:c>
      <x:c r="E75" s="15" t="str">
        <x:v>Seedance2.0</x:v>
      </x:c>
      <x:c r="F75" s="19" t="n">
        <x:v>1</x:v>
      </x:c>
      <x:c r="G75" s="20" t="str">
        <x:v>720p</x:v>
      </x:c>
      <x:c r="H75" s="21" t="str"/>
      <x:c r="I75" s="21" t="str">
        <x:v>USD / 秒</x:v>
      </x:c>
      <x:c r="J75" s="22"/>
      <x:c r="K75" s="22"/>
      <x:c r="L75" s="22"/>
      <x:c r="M75" s="22"/>
      <x:c r="N75" s="22"/>
      <x:c r="O75" s="22" t="n">
        <x:v>0.5</x:v>
      </x:c>
      <x:c r="P75" s="16" t="str">
        <x:v>openai, openai-response, openai-response-compact, anthropic, gemini, openai-alpha-search, openai-video</x:v>
      </x:c>
      <x:c r="Q75" s="16" t="str"/>
      <x:c r="R75" s="16" t="str">
        <x:v>https://platform.frimodel.com/pricing</x:v>
      </x:c>
      <x:c r="S75" s="16" t="str">
        <x:v>2026-08-10</x:v>
      </x:c>
    </x:row>
    <x:row r="76" ht="30" customHeight="1">
      <x:c r="A76" s="23" t="n">
        <x:v>71</x:v>
      </x:c>
      <x:c r="B76" s="15" t="str">
        <x:v>videos-4-fast</x:v>
      </x:c>
      <x:c r="C76" s="15" t="str">
        <x:v>Doubao</x:v>
      </x:c>
      <x:c r="D76" s="15" t="str">
        <x:v>动态计费</x:v>
      </x:c>
      <x:c r="E76" s="15" t="str">
        <x:v>Seedance2.0</x:v>
      </x:c>
      <x:c r="F76" s="19" t="n">
        <x:v>1</x:v>
      </x:c>
      <x:c r="G76" s="20" t="str">
        <x:v>480p</x:v>
      </x:c>
      <x:c r="H76" s="21" t="str"/>
      <x:c r="I76" s="21" t="str">
        <x:v>USD / 秒</x:v>
      </x:c>
      <x:c r="J76" s="22"/>
      <x:c r="K76" s="22"/>
      <x:c r="L76" s="22"/>
      <x:c r="M76" s="22"/>
      <x:c r="N76" s="22"/>
      <x:c r="O76" s="22" t="n">
        <x:v>0.2</x:v>
      </x:c>
      <x:c r="P76" s="16" t="str">
        <x:v>openai, openai-response, openai-response-compact, anthropic, gemini, openai-alpha-search, openai-video</x:v>
      </x:c>
      <x:c r="Q76" s="16" t="str"/>
      <x:c r="R76" s="16" t="str">
        <x:v>https://platform.frimodel.com/pricing</x:v>
      </x:c>
      <x:c r="S76" s="16" t="str">
        <x:v>2026-08-10</x:v>
      </x:c>
    </x:row>
    <x:row r="77" ht="30" customHeight="1">
      <x:c r="A77" s="23" t="n">
        <x:v>72</x:v>
      </x:c>
      <x:c r="B77" s="15" t="str">
        <x:v>videos-4-fast</x:v>
      </x:c>
      <x:c r="C77" s="15" t="str">
        <x:v>Doubao</x:v>
      </x:c>
      <x:c r="D77" s="15" t="str">
        <x:v>动态计费</x:v>
      </x:c>
      <x:c r="E77" s="15" t="str">
        <x:v>Seedance2.0</x:v>
      </x:c>
      <x:c r="F77" s="19" t="n">
        <x:v>1</x:v>
      </x:c>
      <x:c r="G77" s="20" t="str">
        <x:v>720p</x:v>
      </x:c>
      <x:c r="H77" s="21" t="str"/>
      <x:c r="I77" s="21" t="str">
        <x:v>USD / 秒</x:v>
      </x:c>
      <x:c r="J77" s="22"/>
      <x:c r="K77" s="22"/>
      <x:c r="L77" s="22"/>
      <x:c r="M77" s="22"/>
      <x:c r="N77" s="22"/>
      <x:c r="O77" s="22" t="n">
        <x:v>0.35</x:v>
      </x:c>
      <x:c r="P77" s="16" t="str">
        <x:v>openai, openai-response, openai-response-compact, anthropic, gemini, openai-alpha-search, openai-video</x:v>
      </x:c>
      <x:c r="Q77" s="16" t="str"/>
      <x:c r="R77" s="16" t="str">
        <x:v>https://platform.frimodel.com/pricing</x:v>
      </x:c>
      <x:c r="S77" s="16" t="str">
        <x:v>2026-08-10</x:v>
      </x:c>
    </x:row>
    <x:row r="78" ht="30" customHeight="1">
      <x:c r="A78" s="23" t="n">
        <x:v>73</x:v>
      </x:c>
      <x:c r="B78" s="15" t="str">
        <x:v>videos-4-mini</x:v>
      </x:c>
      <x:c r="C78" s="15" t="str">
        <x:v>Doubao</x:v>
      </x:c>
      <x:c r="D78" s="15" t="str">
        <x:v>动态计费</x:v>
      </x:c>
      <x:c r="E78" s="15" t="str">
        <x:v>Seedance2.0</x:v>
      </x:c>
      <x:c r="F78" s="19" t="n">
        <x:v>1</x:v>
      </x:c>
      <x:c r="G78" s="20" t="str">
        <x:v>480p</x:v>
      </x:c>
      <x:c r="H78" s="21" t="str"/>
      <x:c r="I78" s="21" t="str">
        <x:v>USD / 秒</x:v>
      </x:c>
      <x:c r="J78" s="22"/>
      <x:c r="K78" s="22"/>
      <x:c r="L78" s="22"/>
      <x:c r="M78" s="22"/>
      <x:c r="N78" s="22"/>
      <x:c r="O78" s="22" t="n">
        <x:v>0.15</x:v>
      </x:c>
      <x:c r="P78" s="16" t="str">
        <x:v>openai, openai-response, openai-response-compact, anthropic, gemini, openai-alpha-search, openai-video</x:v>
      </x:c>
      <x:c r="Q78" s="16" t="str"/>
      <x:c r="R78" s="16" t="str">
        <x:v>https://platform.frimodel.com/pricing</x:v>
      </x:c>
      <x:c r="S78" s="16" t="str">
        <x:v>2026-08-10</x:v>
      </x:c>
    </x:row>
    <x:row r="79" ht="30" customHeight="1">
      <x:c r="A79" s="23" t="n">
        <x:v>74</x:v>
      </x:c>
      <x:c r="B79" s="15" t="str">
        <x:v>videos-4-mini</x:v>
      </x:c>
      <x:c r="C79" s="15" t="str">
        <x:v>Doubao</x:v>
      </x:c>
      <x:c r="D79" s="15" t="str">
        <x:v>动态计费</x:v>
      </x:c>
      <x:c r="E79" s="15" t="str">
        <x:v>Seedance2.0</x:v>
      </x:c>
      <x:c r="F79" s="19" t="n">
        <x:v>1</x:v>
      </x:c>
      <x:c r="G79" s="20" t="str">
        <x:v>720p</x:v>
      </x:c>
      <x:c r="H79" s="21" t="str"/>
      <x:c r="I79" s="21" t="str">
        <x:v>USD / 秒</x:v>
      </x:c>
      <x:c r="J79" s="22"/>
      <x:c r="K79" s="22"/>
      <x:c r="L79" s="22"/>
      <x:c r="M79" s="22"/>
      <x:c r="N79" s="22"/>
      <x:c r="O79" s="22" t="n">
        <x:v>0.25</x:v>
      </x:c>
      <x:c r="P79" s="16" t="str">
        <x:v>openai, openai-response, openai-response-compact, anthropic, gemini, openai-alpha-search, openai-video</x:v>
      </x:c>
      <x:c r="Q79" s="16" t="str"/>
      <x:c r="R79" s="16" t="str">
        <x:v>https://platform.frimodel.com/pricing</x:v>
      </x:c>
      <x:c r="S79" s="16" t="str">
        <x:v>2026-08-10</x:v>
      </x:c>
    </x:row>
  </x:sheetData>
  <x:mergeCells>
    <x:mergeCell ref="A1:S1"/>
    <x:mergeCell ref="A2:S2"/>
    <x:mergeCell ref="A3:S3"/>
  </x:mergeCells>
  <x:conditionalFormatting sqref="D6:D79">
    <x:cfRule type="containsText" dxfId="1" priority="1" operator="containsText" text="动态计费"/>
  </x:conditionalFormatting>
  <x:pageMargins left="0.7" right="0.7" top="0.75" bottom="0.75" header="0.3" footer="0.3"/>
  <x:tableParts count="1">
    <x:tablePart xmlns:r="http://schemas.openxmlformats.org/officeDocument/2006/relationships" r:id="R2527506a4c364786"/>
  </x:tableParts>
</x:worksheet>
</file>